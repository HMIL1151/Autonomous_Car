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4ce9e5cdda8cb844/Autonomous Car Project Resources/8. Bill of Materials/"/>
    </mc:Choice>
  </mc:AlternateContent>
  <xr:revisionPtr revIDLastSave="8907" documentId="13_ncr:1_{9691EF04-F98B-484F-836A-B3D16908157C}" xr6:coauthVersionLast="47" xr6:coauthVersionMax="47" xr10:uidLastSave="{824B2A2D-94E1-4D0C-9FA2-82A2F79CFFAF}"/>
  <bookViews>
    <workbookView xWindow="-108" yWindow="-108" windowWidth="23256" windowHeight="12576" activeTab="2" xr2:uid="{00000000-000D-0000-FFFF-FFFF00000000}"/>
  </bookViews>
  <sheets>
    <sheet name="Project BOM" sheetId="1" r:id="rId1"/>
    <sheet name="Components Quote" sheetId="5" r:id="rId2"/>
    <sheet name="Equipment Quote" sheetId="6" r:id="rId3"/>
    <sheet name="Stats" sheetId="4" r:id="rId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0" i="6" l="1"/>
  <c r="H21" i="6"/>
  <c r="H22" i="6"/>
  <c r="H23" i="6"/>
  <c r="K44" i="1" a="1"/>
  <c r="K44" i="1" s="1"/>
  <c r="K5" i="1" a="1"/>
  <c r="K5" i="1" s="1"/>
  <c r="K6" i="1" a="1"/>
  <c r="K6" i="1" s="1"/>
  <c r="K7" i="1" a="1"/>
  <c r="K7" i="1" s="1"/>
  <c r="K8" i="1" a="1"/>
  <c r="K8" i="1" s="1"/>
  <c r="K9" i="1" a="1"/>
  <c r="K9" i="1" s="1"/>
  <c r="K10" i="1" a="1"/>
  <c r="K10" i="1" s="1"/>
  <c r="K11" i="1" a="1"/>
  <c r="K11" i="1" s="1"/>
  <c r="K12" i="1" a="1"/>
  <c r="K12" i="1" s="1"/>
  <c r="K13" i="1" a="1"/>
  <c r="K13" i="1" s="1"/>
  <c r="K14" i="1" a="1"/>
  <c r="K14" i="1" s="1"/>
  <c r="K15" i="1" a="1"/>
  <c r="K15" i="1" s="1"/>
  <c r="K16" i="1" a="1"/>
  <c r="K16" i="1" s="1"/>
  <c r="K17" i="1" a="1"/>
  <c r="K17" i="1" s="1"/>
  <c r="K18" i="1" a="1"/>
  <c r="K18" i="1" s="1"/>
  <c r="K19" i="1" a="1"/>
  <c r="K19" i="1" s="1"/>
  <c r="K20" i="1" a="1"/>
  <c r="K20" i="1" s="1"/>
  <c r="K21" i="1" a="1"/>
  <c r="K21" i="1" s="1"/>
  <c r="K22" i="1" a="1"/>
  <c r="K22" i="1" s="1"/>
  <c r="K23" i="1" a="1"/>
  <c r="K23" i="1" s="1"/>
  <c r="K24" i="1" a="1"/>
  <c r="K24" i="1" s="1"/>
  <c r="K25" i="1" a="1"/>
  <c r="K25" i="1" s="1"/>
  <c r="K26" i="1" a="1"/>
  <c r="K26" i="1" s="1"/>
  <c r="K27" i="1" a="1"/>
  <c r="K27" i="1" s="1"/>
  <c r="K28" i="1" a="1"/>
  <c r="K28" i="1" s="1"/>
  <c r="K29" i="1" a="1"/>
  <c r="K29" i="1" s="1"/>
  <c r="K30" i="1" a="1"/>
  <c r="K30" i="1" s="1"/>
  <c r="K31" i="1" a="1"/>
  <c r="K31" i="1" s="1"/>
  <c r="K32" i="1" a="1"/>
  <c r="K32" i="1" s="1"/>
  <c r="K33" i="1" a="1"/>
  <c r="K33" i="1" s="1"/>
  <c r="K34" i="1" a="1"/>
  <c r="K34" i="1" s="1"/>
  <c r="K35" i="1" a="1"/>
  <c r="K35" i="1" s="1"/>
  <c r="K36" i="1" a="1"/>
  <c r="K36" i="1" s="1"/>
  <c r="K37" i="1" a="1"/>
  <c r="K37" i="1" s="1"/>
  <c r="K38" i="1" a="1"/>
  <c r="K38" i="1" s="1"/>
  <c r="K39" i="1" a="1"/>
  <c r="K39" i="1" s="1"/>
  <c r="K40" i="1" a="1"/>
  <c r="K40" i="1" s="1"/>
  <c r="K41" i="1" a="1"/>
  <c r="K41" i="1" s="1"/>
  <c r="K42" i="1" a="1"/>
  <c r="K42" i="1" s="1"/>
  <c r="G43" i="1"/>
  <c r="K43" i="1" s="1" a="1"/>
  <c r="K43" i="1" s="1"/>
  <c r="P43" i="1"/>
  <c r="P44" i="1"/>
  <c r="H16" i="6"/>
  <c r="H17" i="6"/>
  <c r="H18" i="6"/>
  <c r="H19" i="6"/>
  <c r="H14" i="6"/>
  <c r="H3" i="6"/>
  <c r="H4" i="6"/>
  <c r="H5" i="6"/>
  <c r="H6" i="6"/>
  <c r="H7" i="6"/>
  <c r="H8" i="6"/>
  <c r="H9" i="6"/>
  <c r="H10" i="6"/>
  <c r="H11" i="6"/>
  <c r="H12" i="6"/>
  <c r="H13" i="6"/>
  <c r="H15" i="6"/>
  <c r="L43" i="1" l="1"/>
  <c r="M43" i="1" s="1"/>
  <c r="L44" i="1"/>
  <c r="M44" i="1" s="1"/>
  <c r="H24" i="6"/>
  <c r="P36" i="1"/>
  <c r="P9" i="1"/>
  <c r="P30" i="1"/>
  <c r="L5" i="1"/>
  <c r="L6" i="1"/>
  <c r="L7" i="1"/>
  <c r="L8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1" i="1"/>
  <c r="L32" i="1"/>
  <c r="L33" i="1"/>
  <c r="L34" i="1"/>
  <c r="L35" i="1"/>
  <c r="L37" i="1"/>
  <c r="L38" i="1"/>
  <c r="L39" i="1"/>
  <c r="L40" i="1"/>
  <c r="L41" i="1"/>
  <c r="L42" i="1"/>
  <c r="U43" i="1" l="1"/>
  <c r="Q43" i="1"/>
  <c r="N43" i="1"/>
  <c r="U44" i="1"/>
  <c r="Q44" i="1"/>
  <c r="N44" i="1"/>
  <c r="L36" i="1"/>
  <c r="M36" i="1" s="1"/>
  <c r="L9" i="1"/>
  <c r="M9" i="1" s="1"/>
  <c r="L30" i="1"/>
  <c r="M30" i="1" s="1"/>
  <c r="S44" i="1" l="1"/>
  <c r="R44" i="1"/>
  <c r="R43" i="1"/>
  <c r="S43" i="1"/>
  <c r="N36" i="1"/>
  <c r="Q36" i="1"/>
  <c r="U36" i="1"/>
  <c r="U9" i="1"/>
  <c r="N9" i="1"/>
  <c r="Q9" i="1"/>
  <c r="Q30" i="1"/>
  <c r="N30" i="1"/>
  <c r="U30" i="1"/>
  <c r="P10" i="1"/>
  <c r="P13" i="1"/>
  <c r="P41" i="1"/>
  <c r="P5" i="1"/>
  <c r="P6" i="1"/>
  <c r="P7" i="1"/>
  <c r="P8" i="1"/>
  <c r="P11" i="1"/>
  <c r="P12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1" i="1"/>
  <c r="P32" i="1"/>
  <c r="P33" i="1"/>
  <c r="P34" i="1"/>
  <c r="P35" i="1"/>
  <c r="P37" i="1"/>
  <c r="P38" i="1"/>
  <c r="P39" i="1"/>
  <c r="P40" i="1"/>
  <c r="P42" i="1"/>
  <c r="M19" i="1"/>
  <c r="R36" i="1" l="1"/>
  <c r="S36" i="1"/>
  <c r="R9" i="1"/>
  <c r="S9" i="1"/>
  <c r="R30" i="1"/>
  <c r="S30" i="1"/>
  <c r="N19" i="1"/>
  <c r="Q19" i="1"/>
  <c r="M10" i="1"/>
  <c r="M13" i="1"/>
  <c r="M41" i="1"/>
  <c r="P45" i="1"/>
  <c r="M11" i="1"/>
  <c r="M42" i="1"/>
  <c r="M22" i="1"/>
  <c r="U19" i="1"/>
  <c r="M24" i="1"/>
  <c r="M26" i="1"/>
  <c r="M29" i="1"/>
  <c r="M28" i="1"/>
  <c r="M27" i="1"/>
  <c r="M31" i="1"/>
  <c r="M25" i="1"/>
  <c r="M20" i="1"/>
  <c r="M21" i="1"/>
  <c r="M23" i="1"/>
  <c r="M8" i="1"/>
  <c r="M6" i="1"/>
  <c r="M17" i="1"/>
  <c r="M5" i="1"/>
  <c r="Q5" i="1" s="1"/>
  <c r="M16" i="1"/>
  <c r="M33" i="1"/>
  <c r="M32" i="1"/>
  <c r="M37" i="1"/>
  <c r="M15" i="1"/>
  <c r="M35" i="1"/>
  <c r="M14" i="1"/>
  <c r="M40" i="1"/>
  <c r="M12" i="1"/>
  <c r="M34" i="1"/>
  <c r="M7" i="1"/>
  <c r="M18" i="1"/>
  <c r="M39" i="1"/>
  <c r="Q28" i="1" l="1"/>
  <c r="Q21" i="1"/>
  <c r="Q18" i="1"/>
  <c r="Q31" i="1"/>
  <c r="Q40" i="1"/>
  <c r="Q26" i="1"/>
  <c r="Q35" i="1"/>
  <c r="Q37" i="1"/>
  <c r="Q33" i="1"/>
  <c r="Q13" i="1"/>
  <c r="Q25" i="1"/>
  <c r="Q7" i="1"/>
  <c r="Q29" i="1"/>
  <c r="Q14" i="1"/>
  <c r="Q15" i="1"/>
  <c r="Q42" i="1"/>
  <c r="Q11" i="1"/>
  <c r="Q17" i="1"/>
  <c r="Q10" i="1"/>
  <c r="Q39" i="1"/>
  <c r="Q27" i="1"/>
  <c r="Q12" i="1"/>
  <c r="Q24" i="1"/>
  <c r="Q22" i="1"/>
  <c r="Q41" i="1"/>
  <c r="Q6" i="1"/>
  <c r="Q20" i="1"/>
  <c r="Q34" i="1"/>
  <c r="Q32" i="1"/>
  <c r="Q16" i="1"/>
  <c r="R16" i="1" s="1"/>
  <c r="Q8" i="1"/>
  <c r="Q23" i="1"/>
  <c r="N10" i="1"/>
  <c r="U10" i="1"/>
  <c r="N13" i="1"/>
  <c r="U13" i="1"/>
  <c r="N41" i="1"/>
  <c r="U41" i="1"/>
  <c r="S19" i="1"/>
  <c r="R19" i="1"/>
  <c r="N20" i="1"/>
  <c r="N31" i="1"/>
  <c r="N29" i="1"/>
  <c r="N37" i="1"/>
  <c r="N11" i="1"/>
  <c r="N23" i="1"/>
  <c r="N39" i="1"/>
  <c r="N7" i="1"/>
  <c r="N27" i="1"/>
  <c r="N28" i="1"/>
  <c r="N26" i="1"/>
  <c r="N42" i="1"/>
  <c r="N16" i="1"/>
  <c r="N21" i="1"/>
  <c r="N18" i="1"/>
  <c r="N34" i="1"/>
  <c r="N40" i="1"/>
  <c r="N35" i="1"/>
  <c r="N15" i="1"/>
  <c r="N32" i="1"/>
  <c r="N5" i="1"/>
  <c r="N17" i="1"/>
  <c r="N6" i="1"/>
  <c r="N25" i="1"/>
  <c r="N12" i="1"/>
  <c r="N14" i="1"/>
  <c r="N24" i="1"/>
  <c r="N22" i="1"/>
  <c r="N33" i="1"/>
  <c r="N8" i="1"/>
  <c r="U16" i="1"/>
  <c r="U29" i="1"/>
  <c r="U25" i="1"/>
  <c r="U22" i="1"/>
  <c r="U26" i="1"/>
  <c r="U39" i="1"/>
  <c r="U37" i="1"/>
  <c r="U34" i="1"/>
  <c r="U20" i="1"/>
  <c r="U40" i="1"/>
  <c r="U35" i="1"/>
  <c r="U12" i="1"/>
  <c r="U14" i="1"/>
  <c r="U24" i="1"/>
  <c r="U42" i="1"/>
  <c r="U23" i="1"/>
  <c r="U18" i="1"/>
  <c r="U27" i="1"/>
  <c r="U32" i="1"/>
  <c r="U6" i="1"/>
  <c r="U21" i="1"/>
  <c r="U7" i="1"/>
  <c r="U31" i="1"/>
  <c r="U28" i="1"/>
  <c r="U15" i="1"/>
  <c r="U17" i="1"/>
  <c r="U33" i="1"/>
  <c r="U5" i="1"/>
  <c r="U8" i="1"/>
  <c r="U11" i="1"/>
  <c r="R10" i="1" l="1"/>
  <c r="S10" i="1"/>
  <c r="S13" i="1"/>
  <c r="R13" i="1"/>
  <c r="R41" i="1"/>
  <c r="S41" i="1"/>
  <c r="S7" i="1"/>
  <c r="R7" i="1"/>
  <c r="S37" i="1"/>
  <c r="R37" i="1"/>
  <c r="S40" i="1"/>
  <c r="R40" i="1"/>
  <c r="S34" i="1"/>
  <c r="R34" i="1"/>
  <c r="S15" i="1"/>
  <c r="R15" i="1"/>
  <c r="S35" i="1"/>
  <c r="R35" i="1"/>
  <c r="S21" i="1"/>
  <c r="R21" i="1"/>
  <c r="S29" i="1"/>
  <c r="R29" i="1"/>
  <c r="S23" i="1"/>
  <c r="R23" i="1"/>
  <c r="S31" i="1"/>
  <c r="R31" i="1"/>
  <c r="S27" i="1"/>
  <c r="R27" i="1"/>
  <c r="S11" i="1"/>
  <c r="R11" i="1"/>
  <c r="S42" i="1"/>
  <c r="R42" i="1"/>
  <c r="S6" i="1"/>
  <c r="R6" i="1"/>
  <c r="S5" i="1"/>
  <c r="R5" i="1"/>
  <c r="S39" i="1"/>
  <c r="R39" i="1"/>
  <c r="S18" i="1"/>
  <c r="R18" i="1"/>
  <c r="S17" i="1"/>
  <c r="R17" i="1"/>
  <c r="S33" i="1"/>
  <c r="R33" i="1"/>
  <c r="S26" i="1"/>
  <c r="R26" i="1"/>
  <c r="S20" i="1"/>
  <c r="R20" i="1"/>
  <c r="S14" i="1"/>
  <c r="R14" i="1"/>
  <c r="S12" i="1"/>
  <c r="R12" i="1"/>
  <c r="S22" i="1"/>
  <c r="R22" i="1"/>
  <c r="S28" i="1"/>
  <c r="R28" i="1"/>
  <c r="S24" i="1"/>
  <c r="R24" i="1"/>
  <c r="S25" i="1"/>
  <c r="R25" i="1"/>
  <c r="S8" i="1"/>
  <c r="R8" i="1"/>
  <c r="S32" i="1"/>
  <c r="R32" i="1"/>
  <c r="S16" i="1"/>
  <c r="M38" i="1"/>
  <c r="Q38" i="1" l="1"/>
  <c r="U38" i="1"/>
  <c r="N38" i="1"/>
  <c r="N45" i="1" s="1"/>
  <c r="R38" i="1" l="1"/>
  <c r="S38" i="1"/>
  <c r="S4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<sst xmlns="http://schemas.openxmlformats.org/spreadsheetml/2006/main" count="350" uniqueCount="189">
  <si>
    <t>Item Name</t>
  </si>
  <si>
    <t>Item Type</t>
  </si>
  <si>
    <t>In Stock</t>
  </si>
  <si>
    <t>9V Battery Mount</t>
  </si>
  <si>
    <t>3D Print</t>
  </si>
  <si>
    <t>Arduino Uno Mount</t>
  </si>
  <si>
    <t>L298N Mount</t>
  </si>
  <si>
    <t>Stand Rig</t>
  </si>
  <si>
    <t>Arduino Uno</t>
  </si>
  <si>
    <t>Elec Hardware</t>
  </si>
  <si>
    <t>L298N Motor Driver</t>
  </si>
  <si>
    <t>9V Battery</t>
  </si>
  <si>
    <t>DC Geared Motor</t>
  </si>
  <si>
    <t>Wired 9V Connectors</t>
  </si>
  <si>
    <t>Jack 9V Connectors</t>
  </si>
  <si>
    <t>Ultrasonic Sensor</t>
  </si>
  <si>
    <t>Male - Female Jumper Wire</t>
  </si>
  <si>
    <t>M3 x 12 Brass Spacer</t>
  </si>
  <si>
    <t>Fixings</t>
  </si>
  <si>
    <t>M3 Form A Plain Washer</t>
  </si>
  <si>
    <t>M3 Nyloc</t>
  </si>
  <si>
    <t>M3 x 25 Hex socket head cap screw</t>
  </si>
  <si>
    <t>M3 x 30 Hex socket head cap screw</t>
  </si>
  <si>
    <t>M3 x 16 Hex socket head cap screw</t>
  </si>
  <si>
    <t>M3 x 20 Hex socket head cap screw</t>
  </si>
  <si>
    <t>M3 x 10 Hex socket head cap screw</t>
  </si>
  <si>
    <t>Trolley Wheel</t>
  </si>
  <si>
    <t>Hardware</t>
  </si>
  <si>
    <t>Wheel</t>
  </si>
  <si>
    <t>Cable Ties</t>
  </si>
  <si>
    <t>Chassis</t>
  </si>
  <si>
    <t>Laser Cutting</t>
  </si>
  <si>
    <t>Motor Mount</t>
  </si>
  <si>
    <t xml:space="preserve">Terminal Drivers </t>
  </si>
  <si>
    <t>Tools</t>
  </si>
  <si>
    <t>Spanner</t>
  </si>
  <si>
    <t>Male - Male Jumper Wires</t>
  </si>
  <si>
    <t>Teams</t>
  </si>
  <si>
    <t>Supplier</t>
  </si>
  <si>
    <t>Part Number</t>
  </si>
  <si>
    <t>Total Quantity</t>
  </si>
  <si>
    <t>MOQ</t>
  </si>
  <si>
    <t>The Pi Hut</t>
  </si>
  <si>
    <t>A000066</t>
  </si>
  <si>
    <t>Total Cost</t>
  </si>
  <si>
    <t>RS</t>
  </si>
  <si>
    <t>105-7984</t>
  </si>
  <si>
    <t>560-338</t>
  </si>
  <si>
    <t>524-281</t>
  </si>
  <si>
    <t>293-325</t>
  </si>
  <si>
    <t>293-331</t>
  </si>
  <si>
    <t>281-013</t>
  </si>
  <si>
    <t>293-319</t>
  </si>
  <si>
    <t>797-6266</t>
  </si>
  <si>
    <t>Amazon</t>
  </si>
  <si>
    <t>B07TXP54KG</t>
  </si>
  <si>
    <t>170-3902</t>
  </si>
  <si>
    <t>B089CRTDDY</t>
  </si>
  <si>
    <t>247-3231</t>
  </si>
  <si>
    <t>185-4788</t>
  </si>
  <si>
    <t>17.7g</t>
  </si>
  <si>
    <t>6.2g</t>
  </si>
  <si>
    <t>4.2g</t>
  </si>
  <si>
    <t>5.57g</t>
  </si>
  <si>
    <t>DNW-001-001</t>
  </si>
  <si>
    <t>DNW-001-002</t>
  </si>
  <si>
    <t>DNW-001-003</t>
  </si>
  <si>
    <t>DNW-001-004</t>
  </si>
  <si>
    <t>DNW-001-005</t>
  </si>
  <si>
    <t>DNW-001-006</t>
  </si>
  <si>
    <t>COTS-001-001</t>
  </si>
  <si>
    <t>COTS-001-002</t>
  </si>
  <si>
    <t>COTS-001-003</t>
  </si>
  <si>
    <t>COTS-001-004</t>
  </si>
  <si>
    <t>COTS-001-005</t>
  </si>
  <si>
    <t>COTS-001-006</t>
  </si>
  <si>
    <t>COTS-001-007</t>
  </si>
  <si>
    <t>COTS-001-008</t>
  </si>
  <si>
    <t>COTS-001-009</t>
  </si>
  <si>
    <t>COTS-001-010</t>
  </si>
  <si>
    <t>COTS-001-011</t>
  </si>
  <si>
    <t>COTS-001-012</t>
  </si>
  <si>
    <t>COTS-001-013</t>
  </si>
  <si>
    <t>COTS-001-014</t>
  </si>
  <si>
    <t>COTS-001-015</t>
  </si>
  <si>
    <t>COTS-001-016</t>
  </si>
  <si>
    <t>COTS-001-017</t>
  </si>
  <si>
    <t>COTS-001-018</t>
  </si>
  <si>
    <t>COTS-001-019</t>
  </si>
  <si>
    <t>COTS-001-020</t>
  </si>
  <si>
    <t>COTS-001-021</t>
  </si>
  <si>
    <t>COTS-001-022</t>
  </si>
  <si>
    <t>COTS-001-023</t>
  </si>
  <si>
    <t>COTS-001-024</t>
  </si>
  <si>
    <t>COTS-001-025</t>
  </si>
  <si>
    <t>PLA Filament</t>
  </si>
  <si>
    <t>Materials</t>
  </si>
  <si>
    <t>Supplier Number</t>
  </si>
  <si>
    <t>DNW</t>
  </si>
  <si>
    <t>NU SoE</t>
  </si>
  <si>
    <t>DNW-001-007</t>
  </si>
  <si>
    <t>B07MJ9RVYM</t>
  </si>
  <si>
    <t>280-5765</t>
  </si>
  <si>
    <t>QTY per Assy</t>
  </si>
  <si>
    <t>COTS-001-026</t>
  </si>
  <si>
    <t>Cost to Replenish</t>
  </si>
  <si>
    <t>Estimated Delivery Cost</t>
  </si>
  <si>
    <t>Course Quantity</t>
  </si>
  <si>
    <t>Required Spares</t>
  </si>
  <si>
    <t>Spares in Stock</t>
  </si>
  <si>
    <t>USB-B Type Cable 1m</t>
  </si>
  <si>
    <t>52.31g</t>
  </si>
  <si>
    <t>Packs to Replenish</t>
  </si>
  <si>
    <t>Quantity On Order</t>
  </si>
  <si>
    <t>Stock Value</t>
  </si>
  <si>
    <t>Pack Cost (inc. VAT)</t>
  </si>
  <si>
    <t>Quantity to Replenish</t>
  </si>
  <si>
    <t>Halfords</t>
  </si>
  <si>
    <t>2.5mm Allen Key</t>
  </si>
  <si>
    <t>2.5mm Hex Driver</t>
  </si>
  <si>
    <t>Zorro</t>
  </si>
  <si>
    <t>ZT1011508X</t>
  </si>
  <si>
    <t>COTS-001-027</t>
  </si>
  <si>
    <t>Breadboard</t>
  </si>
  <si>
    <t>Ultrasonic Mount Larger</t>
  </si>
  <si>
    <t>DNW-001-009</t>
  </si>
  <si>
    <t>DNW-001-008</t>
  </si>
  <si>
    <t>Ultrasonic Mount Small</t>
  </si>
  <si>
    <t>4.45g</t>
  </si>
  <si>
    <t>Bambu Labs</t>
  </si>
  <si>
    <t>PLA Basic Gray</t>
  </si>
  <si>
    <t>COTS-001-028</t>
  </si>
  <si>
    <t>M3 x 50 Hex socket head cap screw</t>
  </si>
  <si>
    <t>SSC-M3-50-A2</t>
  </si>
  <si>
    <t>Accu</t>
  </si>
  <si>
    <t>Breadboard Spacer</t>
  </si>
  <si>
    <t>DNW-001-010</t>
  </si>
  <si>
    <t>Breadboard Mount</t>
  </si>
  <si>
    <t>QTY</t>
  </si>
  <si>
    <t>Crimping Tool</t>
  </si>
  <si>
    <t>B073TZ5BBG</t>
  </si>
  <si>
    <t>3D Printer</t>
  </si>
  <si>
    <t>X1 Carbon</t>
  </si>
  <si>
    <t>2.1L Storage Box</t>
  </si>
  <si>
    <t>Really Useful Storage</t>
  </si>
  <si>
    <t>RUB2.1</t>
  </si>
  <si>
    <t>1.6L Storage Box</t>
  </si>
  <si>
    <t>RUB1.6</t>
  </si>
  <si>
    <t>35L Storage Box</t>
  </si>
  <si>
    <t>RUB35</t>
  </si>
  <si>
    <t>Radio Controller</t>
  </si>
  <si>
    <t>Howes Models</t>
  </si>
  <si>
    <t>DS600 6 Channel 2.4GHz Radio Set – Single Handed Control for the Lake Reaper Bait Boat with Cruise Control – V3</t>
  </si>
  <si>
    <t>Battery Charger</t>
  </si>
  <si>
    <t>B0CG2X1T6T</t>
  </si>
  <si>
    <t>USB Plug</t>
  </si>
  <si>
    <t>B0CMN7FK7B</t>
  </si>
  <si>
    <t>Sound Sensor</t>
  </si>
  <si>
    <t>DFR0034</t>
  </si>
  <si>
    <t>Vibration Sensor</t>
  </si>
  <si>
    <t>DFR0027</t>
  </si>
  <si>
    <t>Laptop Storage</t>
  </si>
  <si>
    <t>CS Storage</t>
  </si>
  <si>
    <t>Lapbox (10C3PWBAN)</t>
  </si>
  <si>
    <t>Small Box Storage</t>
  </si>
  <si>
    <t>B0CT35G6GJ</t>
  </si>
  <si>
    <t>Solder Sleeves</t>
  </si>
  <si>
    <t>B0C3391BBJ</t>
  </si>
  <si>
    <t>Side Cutters</t>
  </si>
  <si>
    <t>PIR Motion Sensor</t>
  </si>
  <si>
    <t>IR Sensors</t>
  </si>
  <si>
    <t>7-segment displays</t>
  </si>
  <si>
    <t>B0872YZNRD</t>
  </si>
  <si>
    <t>WAV-12224</t>
  </si>
  <si>
    <t>MMP-0205</t>
  </si>
  <si>
    <t>DNW-001-011</t>
  </si>
  <si>
    <t>DNW-001-012</t>
  </si>
  <si>
    <t>9V Battery Box</t>
  </si>
  <si>
    <t>78.87g</t>
  </si>
  <si>
    <t>40.01g</t>
  </si>
  <si>
    <t>Arduino Uno Box</t>
  </si>
  <si>
    <t>A4 Paper</t>
  </si>
  <si>
    <t>A3 Paper</t>
  </si>
  <si>
    <t>B01FSGVN4M</t>
  </si>
  <si>
    <t>B000SHONFS</t>
  </si>
  <si>
    <t>B07GH9H4T6</t>
  </si>
  <si>
    <t>B0C39ZDTQP</t>
  </si>
  <si>
    <t>Printer Ink (Canon)</t>
  </si>
  <si>
    <t>Printer Ink (Epson)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</si>
</sst>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£&quot;#,##0.00"/>
  </numFmts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theme="1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/>
      <bottom style="medium">
        <color theme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7">
    <xf numFmtId="0" fontId="0" fillId="0" borderId="0" xfId="0"/>
    <xf numFmtId="164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13" fillId="34" borderId="10" xfId="0" applyFont="1" applyFill="1" applyBorder="1"/>
    <xf numFmtId="0" fontId="0" fillId="35" borderId="10" xfId="0" applyFill="1" applyBorder="1"/>
    <xf numFmtId="0" fontId="13" fillId="33" borderId="11" xfId="0" applyFont="1" applyFill="1" applyBorder="1" applyAlignment="1">
      <alignment horizontal="center" vertical="center" wrapText="1"/>
    </xf>
    <xf numFmtId="164" fontId="13" fillId="33" borderId="11" xfId="0" applyNumberFormat="1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left"/>
    </xf>
    <xf numFmtId="0" fontId="0" fillId="0" borderId="13" xfId="0" applyBorder="1"/>
    <xf numFmtId="0" fontId="0" fillId="0" borderId="13" xfId="0" applyBorder="1" applyAlignment="1">
      <alignment horizontal="left"/>
    </xf>
    <xf numFmtId="164" fontId="0" fillId="0" borderId="13" xfId="0" applyNumberFormat="1" applyBorder="1"/>
    <xf numFmtId="0" fontId="0" fillId="0" borderId="12" xfId="0" applyBorder="1"/>
    <xf numFmtId="0" fontId="0" fillId="0" borderId="12" xfId="0" applyBorder="1" applyAlignment="1">
      <alignment horizontal="left"/>
    </xf>
    <xf numFmtId="164" fontId="0" fillId="0" borderId="12" xfId="0" applyNumberFormat="1" applyBorder="1"/>
    <xf numFmtId="0" fontId="0" fillId="0" borderId="14" xfId="0" applyBorder="1"/>
    <xf numFmtId="0" fontId="0" fillId="0" borderId="15" xfId="0" applyBorder="1"/>
    <xf numFmtId="164" fontId="0" fillId="0" borderId="16" xfId="0" applyNumberFormat="1" applyBorder="1"/>
    <xf numFmtId="164" fontId="0" fillId="0" borderId="17" xfId="0" applyNumberFormat="1" applyBorder="1"/>
    <xf numFmtId="0" fontId="13" fillId="0" borderId="18" xfId="0" applyFont="1" applyBorder="1" applyAlignment="1">
      <alignment horizontal="center" vertical="center" wrapText="1"/>
    </xf>
    <xf numFmtId="0" fontId="13" fillId="0" borderId="11" xfId="0" applyFont="1" applyBorder="1" applyAlignment="1">
      <alignment horizontal="center" vertical="center" wrapText="1"/>
    </xf>
    <xf numFmtId="164" fontId="13" fillId="0" borderId="11" xfId="0" applyNumberFormat="1" applyFont="1" applyBorder="1" applyAlignment="1">
      <alignment horizontal="center" vertical="center" wrapText="1"/>
    </xf>
    <xf numFmtId="164" fontId="13" fillId="0" borderId="19" xfId="0" applyNumberFormat="1" applyFont="1" applyBorder="1" applyAlignment="1">
      <alignment horizontal="center" vertical="center" wrapText="1"/>
    </xf>
    <xf numFmtId="1" fontId="0" fillId="0" borderId="0" xfId="0" applyNumberFormat="1"/>
    <xf numFmtId="1" fontId="0" fillId="0" borderId="0" xfId="0" applyNumberFormat="1" applyAlignment="1">
      <alignment horizontal="center"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63">
    <dxf>
      <numFmt numFmtId="164" formatCode="&quot;£&quot;#,##0.00"/>
      <border diagonalUp="0" diagonalDown="0" outline="0">
        <left style="thin">
          <color theme="1"/>
        </left>
        <right/>
        <top style="thin">
          <color theme="1"/>
        </top>
        <bottom/>
      </border>
    </dxf>
    <dxf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numFmt numFmtId="164" formatCode="&quot;£&quot;#,##0.0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numFmt numFmtId="164" formatCode="&quot;£&quot;#,##0.0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left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border diagonalUp="0" diagonalDown="0" outline="0">
        <left/>
        <right style="thin">
          <color theme="1"/>
        </right>
        <top style="thin">
          <color theme="1"/>
        </top>
        <bottom/>
      </border>
    </dxf>
    <dxf>
      <numFmt numFmtId="164" formatCode="&quot;£&quot;#,##0.00"/>
      <fill>
        <patternFill patternType="none">
          <fgColor indexed="64"/>
          <bgColor indexed="65"/>
        </patternFill>
      </fill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numFmt numFmtId="164" formatCode="&quot;£&quot;#,##0.00"/>
      <fill>
        <patternFill patternType="none">
          <fgColor indexed="64"/>
          <bgColor indexed="65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numFmt numFmtId="164" formatCode="&quot;£&quot;#,##0.00"/>
      <fill>
        <patternFill patternType="none">
          <fgColor indexed="64"/>
          <bgColor indexed="65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theme="9" tint="0.59996337778862885"/>
        </patternFill>
      </fill>
    </dxf>
    <dxf>
      <border outline="0"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top style="medium">
          <color theme="1"/>
        </top>
        <bottom style="thin">
          <color theme="1"/>
        </bottom>
      </border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numFmt numFmtId="164" formatCode="&quot;£&quot;#,##0.0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numFmt numFmtId="164" formatCode="&quot;£&quot;#,##0.00"/>
      <alignment horizontal="left" vertical="bottom" textRotation="0" wrapText="0" indent="0" justifyLastLine="0" shrinkToFit="0" readingOrder="0"/>
    </dxf>
    <dxf>
      <numFmt numFmtId="164" formatCode="&quot;£&quot;#,##0.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4" formatCode="&quot;£&quot;#,##0.00"/>
      <alignment horizontal="left" vertical="bottom" textRotation="0" wrapText="0" indent="0" justifyLastLine="0" shrinkToFit="0" readingOrder="0"/>
    </dxf>
    <dxf>
      <numFmt numFmtId="164" formatCode="&quot;£&quot;#,##0.00"/>
      <alignment horizontal="left" vertical="bottom" textRotation="0" wrapText="0" indent="0" justifyLastLine="0" shrinkToFit="0" readingOrder="0"/>
    </dxf>
    <dxf>
      <numFmt numFmtId="164" formatCode="&quot;£&quot;#,##0.00"/>
      <alignment horizontal="left" vertical="bottom" textRotation="0" wrapText="0" indent="0" justifyLastLine="0" shrinkToFit="0" readingOrder="0"/>
    </dxf>
    <dxf>
      <numFmt numFmtId="164" formatCode="&quot;£&quot;#,##0.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medium">
          <color theme="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numFmt numFmtId="164" formatCode="&quot;£&quot;#,##0.00"/>
      <fill>
        <patternFill patternType="solid">
          <fgColor theme="1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numFmt numFmtId="0" formatCode="General"/>
    </dxf>
    <dxf>
      <numFmt numFmtId="164" formatCode="&quot;£&quot;#,##0.00"/>
    </dxf>
    <dxf>
      <numFmt numFmtId="164" formatCode="&quot;£&quot;#,##0.00"/>
    </dxf>
    <dxf>
      <numFmt numFmtId="0" formatCode="General"/>
    </dxf>
    <dxf>
      <numFmt numFmtId="0" formatCode="General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0" formatCode="General"/>
    </dxf>
    <dxf>
      <numFmt numFmtId="0" formatCode="General"/>
    </dxf>
    <dxf>
      <numFmt numFmtId="0" formatCode="General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" formatCode="0"/>
    </dxf>
    <dxf>
      <numFmt numFmtId="1" formatCode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fill>
        <patternFill>
          <bgColor rgb="FFFF8B8B"/>
        </patternFill>
      </fill>
    </dxf>
    <dxf>
      <fill>
        <patternFill>
          <bgColor rgb="FFFF8B8B"/>
        </patternFill>
      </fill>
    </dxf>
    <dxf>
      <fill>
        <patternFill>
          <bgColor rgb="FFFF8989"/>
        </patternFill>
      </fill>
    </dxf>
    <dxf>
      <fill>
        <patternFill>
          <bgColor rgb="FFFFC00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FF8B8B"/>
      <color rgb="FFFF89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Course</a:t>
            </a:r>
            <a:r>
              <a:rPr lang="en-GB" baseline="0"/>
              <a:t> Cost Per Cadet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Stats!$A$5:$A$16</c:f>
              <c:numCache>
                <c:formatCode>General</c:formatCode>
                <c:ptCount val="12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</c:numCache>
            </c:numRef>
          </c:xVal>
          <c:yVal>
            <c:numRef>
              <c:f>Stats!$B$5:$B$16</c:f>
              <c:numCache>
                <c:formatCode>General</c:formatCode>
                <c:ptCount val="12"/>
                <c:pt idx="0">
                  <c:v>50.793125000000011</c:v>
                </c:pt>
                <c:pt idx="1">
                  <c:v>47.975499999999997</c:v>
                </c:pt>
                <c:pt idx="2">
                  <c:v>42.887499999999989</c:v>
                </c:pt>
                <c:pt idx="3">
                  <c:v>40.112500000000004</c:v>
                </c:pt>
                <c:pt idx="4">
                  <c:v>57.32156250000002</c:v>
                </c:pt>
                <c:pt idx="5">
                  <c:v>56.212777777777802</c:v>
                </c:pt>
                <c:pt idx="6">
                  <c:v>63.351999999999975</c:v>
                </c:pt>
                <c:pt idx="7">
                  <c:v>37.781363636363643</c:v>
                </c:pt>
                <c:pt idx="8">
                  <c:v>37.01583333333334</c:v>
                </c:pt>
                <c:pt idx="9">
                  <c:v>40.121153846153838</c:v>
                </c:pt>
                <c:pt idx="10">
                  <c:v>37.211071428571422</c:v>
                </c:pt>
                <c:pt idx="11">
                  <c:v>36.261166666666668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B-4B58-A1F0-C8556DC91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8532112"/>
        <c:axId val="1338543152"/>
      </c:scatterChart>
      <c:valAx>
        <c:axId val="1338532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Number of Teams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8543152"/>
        <c:crosses val="autoZero"/>
        <c:crossBetween val="midCat"/>
      </c:valAx>
      <c:valAx>
        <c:axId val="133854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Cost (£)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8532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0</xdr:row>
      <xdr:rowOff>95250</xdr:rowOff>
    </xdr:from>
    <xdr:to>
      <xdr:col>2</xdr:col>
      <xdr:colOff>390525</xdr:colOff>
      <xdr:row>3</xdr:row>
      <xdr:rowOff>76200</xdr:rowOff>
    </xdr:to>
    <xdr:sp macro="[0]!CopyBOM" textlink="">
      <xdr:nvSpPr>
        <xdr:cNvPr id="2" name="Rectangle 1">
          <a:extLst>
            <a:ext uri="{FF2B5EF4-FFF2-40B4-BE49-F238E27FC236}">
              <a16:creationId xmlns:a16="http://schemas.microsoft.com/office/drawing/2014/main" id="{80C40480-1C39-99EF-CE8F-B3BAA4E110F9}"/>
            </a:ext>
          </a:extLst>
        </xdr:cNvPr>
        <xdr:cNvSpPr/>
      </xdr:nvSpPr>
      <xdr:spPr>
        <a:xfrm>
          <a:off x="200025" y="95250"/>
          <a:ext cx="1695450" cy="5238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Generate Quote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167640</xdr:colOff>
      <xdr:row>0</xdr:row>
      <xdr:rowOff>106680</xdr:rowOff>
    </xdr:from>
    <xdr:to>
      <xdr:col>3</xdr:col>
      <xdr:colOff>175260</xdr:colOff>
      <xdr:row>3</xdr:row>
      <xdr:rowOff>0</xdr:rowOff>
    </xdr:to>
    <xdr:sp macro="[0]!CalculateAndSum" textlink="">
      <xdr:nvSpPr>
        <xdr:cNvPr id="2" name="Rectangle 1">
          <a:extLst>
            <a:ext uri="{FF2B5EF4-FFF2-40B4-BE49-F238E27FC236}">
              <a16:creationId xmlns:a16="http://schemas.microsoft.com/office/drawing/2014/main" id="{FB79C611-DC86-D1B7-B2FB-5A3F4D50DFBA}"/>
            </a:ext>
          </a:extLst>
        </xdr:cNvPr>
        <xdr:cNvSpPr/>
      </xdr:nvSpPr>
      <xdr:spPr>
        <a:xfrm>
          <a:off x="373380" y="106680"/>
          <a:ext cx="1226820" cy="44196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Optimise Course Size</a:t>
          </a:r>
        </a:p>
      </xdr:txBody>
    </xdr:sp>
    <xdr:clientData/>
  </xdr:twoCellAnchor>
  <xdr:twoCellAnchor>
    <xdr:from>
      <xdr:col>3</xdr:col>
      <xdr:colOff>320040</xdr:colOff>
      <xdr:row>0</xdr:row>
      <xdr:rowOff>118110</xdr:rowOff>
    </xdr:from>
    <xdr:to>
      <xdr:col>10</xdr:col>
      <xdr:colOff>381000</xdr:colOff>
      <xdr:row>18</xdr:row>
      <xdr:rowOff>175260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CE8FAC-7348-F2D8-C2E3-375A39AF07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8D9878F-C4B6-470C-BB74-EF655D41FAF0}" name="BOM" displayName="BOM" ref="B4:U45" totalsRowCount="1" headerRowDxfId="57">
  <autoFilter ref="B4:U44" xr:uid="{C8D9878F-C4B6-470C-BB74-EF655D41FAF0}"/>
  <sortState xmlns:xlrd2="http://schemas.microsoft.com/office/spreadsheetml/2017/richdata2" ref="B5:U42">
    <sortCondition ref="D4:D42"/>
  </sortState>
  <tableColumns count="20">
    <tableColumn id="1" xr3:uid="{8A207335-862D-452C-96E9-7C403FF10569}" name="Part Number"/>
    <tableColumn id="16" xr3:uid="{D14E37BB-36B5-4E55-BD0B-5046C550B182}" name="Item Name"/>
    <tableColumn id="2" xr3:uid="{56C290B7-6722-4645-AF3D-5874F3F7BDF9}" name="Item Type"/>
    <tableColumn id="10" xr3:uid="{EF73CEBC-AE32-4A05-BB13-3D6A3DF7BA33}" name="Supplier"/>
    <tableColumn id="9" xr3:uid="{B6F73AB4-4FCC-4826-8187-2EAAE58BB898}" name="Supplier Number" dataDxfId="56" totalsRowDxfId="55"/>
    <tableColumn id="3" xr3:uid="{B23ABA65-AE79-4F2C-AA4A-D9815C5ABC17}" name="QTY per Assy" dataDxfId="54" totalsRowDxfId="53"/>
    <tableColumn id="11" xr3:uid="{30A6BB10-22DF-437E-8129-652ADB3D6496}" name="Pack Cost (inc. VAT)" dataDxfId="52" totalsRowDxfId="51"/>
    <tableColumn id="14" xr3:uid="{D7A8136B-1167-441F-8A52-EE28F174D157}" name="Estimated Delivery Cost" dataDxfId="50" totalsRowDxfId="49"/>
    <tableColumn id="12" xr3:uid="{F42E712B-D84B-49A4-9D7C-F04A79568550}" name="MOQ"/>
    <tableColumn id="4" xr3:uid="{9C2EDC3A-3E82-4B46-9E6A-77FC6AFC64BB}" name="Course Quantity" dataDxfId="48">
      <calculatedColumnFormula array="1">IF(BOM[[#This Row],[Item Type]]="Materials",ROUNDUP(SUMPRODUCT(IFERROR(VALUE(LEFT(BOM[Supplier Number], FIND("g", BOM[Supplier Number]) - 1)),0) * (BOM[Item Type] = "3D Print")*((BOM[QTY per Assy]*$C$2+(ROUNDUP(BOM[QTY per Assy]*$C$2*0.1,0)))-BOM[In Stock]))/500,0)+1,ROUNDUP(BOM[[#This Row],[QTY per Assy]]*$C$2,0))</calculatedColumnFormula>
    </tableColumn>
    <tableColumn id="15" xr3:uid="{AA61D9DF-9545-4415-BE3C-FAF245E05EBF}" name="Required Spares" dataDxfId="47">
      <calculatedColumnFormula>IF(BOM[[#This Row],[Item Type]]="Fixings",ROUNDUP(BOM[[#This Row],[Course Quantity]]*0.5,0), ROUNDUP(BOM[[#This Row],[Course Quantity]]*0.1,0))</calculatedColumnFormula>
    </tableColumn>
    <tableColumn id="17" xr3:uid="{28EC3FA1-7C05-4C27-BCDF-EC635D045312}" name="Total Quantity" dataDxfId="46">
      <calculatedColumnFormula>BOM[[#This Row],[Course Quantity]]+BOM[[#This Row],[Required Spares]]</calculatedColumnFormula>
    </tableColumn>
    <tableColumn id="13" xr3:uid="{9384F4DB-700B-49F2-BCE7-C1BD1E3B9F6B}" name="Total Cost" totalsRowFunction="custom" dataDxfId="45" totalsRowDxfId="44">
      <calculatedColumnFormula>IFERROR(IFERROR(IF(BOM[[#This Row],[MOQ]]&gt;=BOM[[#This Row],[Total Quantity]],BOM[[#This Row],[Pack Cost (inc. VAT)]],IF(MOD(BOM[[#This Row],[Total Quantity]],BOM[[#This Row],[MOQ]]) = 0, BOM[[#This Row],[Pack Cost (inc. VAT)]]*BOM[[#This Row],[Total Quantity]],((ROUND(BOM[[#This Row],[Total Quantity]]/BOM[[#This Row],[MOQ]],0)+1)*BOM[[#This Row],[Pack Cost (inc. VAT)]]))),"")+BOM[[#This Row],[Estimated Delivery Cost]],"")</calculatedColumnFormula>
      <totalsRowFormula>SUM(BOM[Total Cost])</totalsRowFormula>
    </tableColumn>
    <tableColumn id="5" xr3:uid="{6BC61D82-38DB-4D3E-B18C-C85B5F89BB8D}" name="In Stock"/>
    <tableColumn id="21" xr3:uid="{58420BBC-5878-43D0-864C-99A711EE1FE5}" name="Stock Value" totalsRowFunction="sum" dataDxfId="43" totalsRowDxfId="42">
      <calculatedColumnFormula>IFERROR(BOM[[#This Row],[Estimated Delivery Cost]]+(BOM[[#This Row],[Pack Cost (inc. VAT)]]*ROUNDUP(BOM[[#This Row],[In Stock]]/BOM[[#This Row],[MOQ]],0)),"")</calculatedColumnFormula>
    </tableColumn>
    <tableColumn id="19" xr3:uid="{FF99DF7C-8B20-43C6-B37E-9B589E83F158}" name="Packs to Replenish" dataDxfId="41">
      <calculatedColumnFormula>IFERROR(IF(BOM[[#This Row],[In Stock]]&lt;BOM[[#This Row],[Total Quantity]],ROUNDUP((BOM[[#This Row],[Total Quantity]]-BOM[[#This Row],[In Stock]])/BOM[[#This Row],[MOQ]],0),""),"")</calculatedColumnFormula>
    </tableColumn>
    <tableColumn id="22" xr3:uid="{ACD7956F-F5AD-4DFB-A307-1AA47554D71A}" name="Quantity to Replenish" dataDxfId="40">
      <calculatedColumnFormula>IFERROR(BOM[[#This Row],[Packs to Replenish]]*BOM[[#This Row],[MOQ]],"")</calculatedColumnFormula>
    </tableColumn>
    <tableColumn id="8" xr3:uid="{3657EA50-7FAB-4857-BC04-E05C598EE193}" name="Cost to Replenish" totalsRowFunction="sum" dataDxfId="39" totalsRowDxfId="38">
      <calculatedColumnFormula>IFERROR(((BOM[[#This Row],[Packs to Replenish]]*BOM[[#This Row],[Pack Cost (inc. VAT)]])+BOM[[#This Row],[Estimated Delivery Cost]]),"")</calculatedColumnFormula>
    </tableColumn>
    <tableColumn id="6" xr3:uid="{000A8B09-35D1-4890-8006-73131A2E26E5}" name="Quantity On Order"/>
    <tableColumn id="7" xr3:uid="{CBA9FE2D-E829-498C-9E93-B92D410C4331}" name="Spares in Stock" dataDxfId="37">
      <calculatedColumnFormula>IF(BOM[[#This Row],[In Stock]]-BOM[[#This Row],[Total Quantity]]&gt;=1,BOM[[#This Row],[In Stock]]-BOM[[#This Row],[Total Quantity]],"Insufficient Stock")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18CDCFE-5543-42F3-80E5-238DA19C2065}" name="Quote" displayName="Quote" ref="D4:J29" totalsRowShown="0" headerRowDxfId="36" dataDxfId="34" headerRowBorderDxfId="35" tableBorderDxfId="33">
  <autoFilter ref="D4:J29" xr:uid="{F18CDCFE-5543-42F3-80E5-238DA19C2065}"/>
  <tableColumns count="7">
    <tableColumn id="1" xr3:uid="{F03A6279-FD1B-4CAB-AE5F-2B143DA94373}" name="Item Name" dataDxfId="32" totalsRowDxfId="31"/>
    <tableColumn id="2" xr3:uid="{2DA1FC72-A6F0-4580-9ACD-857589D68556}" name="Supplier" dataDxfId="30" totalsRowDxfId="29"/>
    <tableColumn id="3" xr3:uid="{BD0434FB-09D9-4F5C-96E1-BD126D2E3492}" name="Supplier Number" dataDxfId="28" totalsRowDxfId="27"/>
    <tableColumn id="4" xr3:uid="{FCBF3696-DB4E-4AF4-A752-912C444B4D7F}" name="Pack Cost (inc. VAT)" dataDxfId="26" totalsRowDxfId="25"/>
    <tableColumn id="5" xr3:uid="{E053D259-5574-43FA-BDBC-BB52FE16C8E3}" name="Estimated Delivery Cost" dataDxfId="24" totalsRowDxfId="23"/>
    <tableColumn id="6" xr3:uid="{6BC68AD2-BC24-4B7C-A0FC-7C72B3DC19AE}" name="QTY" dataDxfId="22" totalsRowDxfId="21"/>
    <tableColumn id="7" xr3:uid="{C8C1BAC4-4E09-4A61-BDDD-6AFFB50C66CE}" name="Total Cost" dataDxfId="20" totalsRowDxfId="19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9CB0CB5-4F7F-4775-8CCC-C71D740C13C9}" name="Table2" displayName="Table2" ref="B2:H24" totalsRowCount="1" headerRowDxfId="18" headerRowBorderDxfId="17" tableBorderDxfId="16" totalsRowBorderDxfId="15">
  <autoFilter ref="B2:H23" xr:uid="{89CB0CB5-4F7F-4775-8CCC-C71D740C13C9}"/>
  <tableColumns count="7">
    <tableColumn id="1" xr3:uid="{A8288E7D-F36E-4DE3-A45B-5C1B87E903B5}" name="Item Name" dataDxfId="13" totalsRowDxfId="6"/>
    <tableColumn id="2" xr3:uid="{57425377-37E9-4FB8-A22B-C7DAA2551382}" name="Supplier" dataDxfId="12" totalsRowDxfId="5"/>
    <tableColumn id="3" xr3:uid="{25291B0F-72B3-4AA9-B10D-4015F0F826B0}" name="Supplier Number" dataDxfId="11" totalsRowDxfId="4"/>
    <tableColumn id="4" xr3:uid="{4EF187CF-EEF8-4269-A4E3-B09F8FC10141}" name="Pack Cost (inc. VAT)" dataDxfId="10" totalsRowDxfId="3"/>
    <tableColumn id="5" xr3:uid="{E68E95E3-940C-495B-80D8-078020A29A2A}" name="Estimated Delivery Cost" dataDxfId="9" totalsRowDxfId="2"/>
    <tableColumn id="6" xr3:uid="{2CC75BB0-8585-416D-A13A-123D2C79A4BC}" name="QTY" dataDxfId="8" totalsRowDxfId="1"/>
    <tableColumn id="7" xr3:uid="{AD2E1C72-EACA-448C-A4F1-C3956C68C1C3}" name="Total Cost" totalsRowFunction="custom" dataDxfId="7" totalsRowDxfId="0">
      <calculatedColumnFormula>IFERROR((Table2[[#This Row],[QTY]]*Table2[[#This Row],[Pack Cost (inc. VAT)]])+Table2[[#This Row],[Estimated Delivery Cost]],"")</calculatedColumnFormula>
      <totalsRowFormula>SUM(Table2[Total Cost])</totalsRow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U45"/>
  <sheetViews>
    <sheetView topLeftCell="C24" zoomScaleNormal="100" workbookViewId="0">
      <selection activeCell="F50" sqref="F50"/>
    </sheetView>
  </sheetViews>
  <sheetFormatPr defaultRowHeight="14.4" x14ac:dyDescent="0.3"/>
  <cols>
    <col min="1" max="1" width="3.44140625" customWidth="1"/>
    <col min="2" max="2" width="13.77734375" bestFit="1" customWidth="1"/>
    <col min="3" max="3" width="31" customWidth="1"/>
    <col min="4" max="4" width="13.33203125" customWidth="1"/>
    <col min="5" max="5" width="13.44140625" customWidth="1"/>
    <col min="6" max="6" width="15.77734375" style="2" customWidth="1"/>
    <col min="7" max="7" width="8.77734375" style="25" customWidth="1"/>
    <col min="8" max="8" width="10.77734375" style="1" customWidth="1"/>
    <col min="9" max="9" width="15.21875" style="1" customWidth="1"/>
    <col min="10" max="10" width="7.33203125" customWidth="1"/>
    <col min="11" max="11" width="10.77734375" customWidth="1"/>
    <col min="12" max="12" width="10.33203125" customWidth="1"/>
    <col min="13" max="13" width="10.88671875" customWidth="1"/>
    <col min="14" max="14" width="10.109375" style="1" customWidth="1"/>
    <col min="15" max="16" width="9.109375" customWidth="1"/>
    <col min="17" max="17" width="9.77734375" customWidth="1"/>
    <col min="18" max="18" width="10.44140625" hidden="1" customWidth="1"/>
    <col min="19" max="19" width="12.5546875" style="1" customWidth="1"/>
    <col min="20" max="20" width="11.109375" bestFit="1" customWidth="1"/>
    <col min="21" max="21" width="15.109375" bestFit="1" customWidth="1"/>
  </cols>
  <sheetData>
    <row r="2" spans="2:21" x14ac:dyDescent="0.3">
      <c r="B2" s="6" t="s">
        <v>37</v>
      </c>
      <c r="C2" s="7">
        <v>14</v>
      </c>
    </row>
    <row r="3" spans="2:21" x14ac:dyDescent="0.3">
      <c r="F3"/>
      <c r="H3"/>
      <c r="I3"/>
      <c r="N3"/>
      <c r="S3"/>
    </row>
    <row r="4" spans="2:21" s="4" customFormat="1" ht="28.8" x14ac:dyDescent="0.3">
      <c r="B4" s="4" t="s">
        <v>39</v>
      </c>
      <c r="C4" s="4" t="s">
        <v>0</v>
      </c>
      <c r="D4" s="4" t="s">
        <v>1</v>
      </c>
      <c r="E4" s="4" t="s">
        <v>38</v>
      </c>
      <c r="F4" s="4" t="s">
        <v>97</v>
      </c>
      <c r="G4" s="26" t="s">
        <v>103</v>
      </c>
      <c r="H4" s="5" t="s">
        <v>115</v>
      </c>
      <c r="I4" s="5" t="s">
        <v>106</v>
      </c>
      <c r="J4" s="4" t="s">
        <v>41</v>
      </c>
      <c r="K4" s="4" t="s">
        <v>107</v>
      </c>
      <c r="L4" s="4" t="s">
        <v>108</v>
      </c>
      <c r="M4" s="4" t="s">
        <v>40</v>
      </c>
      <c r="N4" s="5" t="s">
        <v>44</v>
      </c>
      <c r="O4" s="4" t="s">
        <v>2</v>
      </c>
      <c r="P4" s="4" t="s">
        <v>114</v>
      </c>
      <c r="Q4" s="4" t="s">
        <v>112</v>
      </c>
      <c r="R4" s="4" t="s">
        <v>116</v>
      </c>
      <c r="S4" s="5" t="s">
        <v>105</v>
      </c>
      <c r="T4" s="4" t="s">
        <v>113</v>
      </c>
      <c r="U4" s="4" t="s">
        <v>109</v>
      </c>
    </row>
    <row r="5" spans="2:21" x14ac:dyDescent="0.3">
      <c r="B5" t="s">
        <v>64</v>
      </c>
      <c r="C5" t="s">
        <v>3</v>
      </c>
      <c r="D5" t="s">
        <v>4</v>
      </c>
      <c r="E5" t="s">
        <v>98</v>
      </c>
      <c r="F5" s="2" t="s">
        <v>60</v>
      </c>
      <c r="G5" s="25">
        <v>2</v>
      </c>
      <c r="H5" s="1">
        <v>0</v>
      </c>
      <c r="I5" s="1">
        <v>0</v>
      </c>
      <c r="J5">
        <v>1</v>
      </c>
      <c r="K5" cm="1">
        <f t="array" ref="K5">IF(BOM[[#This Row],[Item Type]]="Materials",ROUNDUP(SUMPRODUCT(IFERROR(VALUE(LEFT(BOM[Supplier Number], FIND("g", BOM[Supplier Number]) - 1)),0) * (BOM[Item Type] = "3D Print")*((BOM[QTY per Assy]*$C$2+(ROUNDUP(BOM[QTY per Assy]*$C$2*0.1,0)))-BOM[In Stock]))/500,0)+1,ROUNDUP(BOM[[#This Row],[QTY per Assy]]*$C$2,0))</f>
        <v>28</v>
      </c>
      <c r="L5">
        <f>IF(BOM[[#This Row],[Item Type]]="Fixings",ROUNDUP(BOM[[#This Row],[Course Quantity]]*0.5,0), ROUNDUP(BOM[[#This Row],[Course Quantity]]*0.1,0))</f>
        <v>3</v>
      </c>
      <c r="M5">
        <f>BOM[[#This Row],[Course Quantity]]+BOM[[#This Row],[Required Spares]]</f>
        <v>31</v>
      </c>
      <c r="N5" s="1">
        <f>IFERROR(IFERROR(IF(BOM[[#This Row],[MOQ]]&gt;=BOM[[#This Row],[Total Quantity]],BOM[[#This Row],[Pack Cost (inc. VAT)]],IF(MOD(BOM[[#This Row],[Total Quantity]],BOM[[#This Row],[MOQ]]) = 0, BOM[[#This Row],[Pack Cost (inc. VAT)]]*BOM[[#This Row],[Total Quantity]],((ROUND(BOM[[#This Row],[Total Quantity]]/BOM[[#This Row],[MOQ]],0)+1)*BOM[[#This Row],[Pack Cost (inc. VAT)]]))),"")+BOM[[#This Row],[Estimated Delivery Cost]],"")</f>
        <v>0</v>
      </c>
      <c r="O5">
        <v>18</v>
      </c>
      <c r="P5" s="1">
        <f>IFERROR(BOM[[#This Row],[Estimated Delivery Cost]]+(BOM[[#This Row],[Pack Cost (inc. VAT)]]*ROUNDUP(BOM[[#This Row],[In Stock]]/BOM[[#This Row],[MOQ]],0)),"")</f>
        <v>0</v>
      </c>
      <c r="Q5">
        <f>IFERROR(IF(BOM[[#This Row],[In Stock]]&lt;BOM[[#This Row],[Total Quantity]],ROUNDUP((BOM[[#This Row],[Total Quantity]]-BOM[[#This Row],[In Stock]])/BOM[[#This Row],[MOQ]],0),""),"")</f>
        <v>13</v>
      </c>
      <c r="R5">
        <f>IFERROR(BOM[[#This Row],[Packs to Replenish]]*BOM[[#This Row],[MOQ]],"")</f>
        <v>13</v>
      </c>
      <c r="S5" s="1">
        <f>IFERROR(((BOM[[#This Row],[Packs to Replenish]]*BOM[[#This Row],[Pack Cost (inc. VAT)]])+BOM[[#This Row],[Estimated Delivery Cost]]),"")</f>
        <v>0</v>
      </c>
      <c r="U5" t="str">
        <f>IF(BOM[[#This Row],[In Stock]]-BOM[[#This Row],[Total Quantity]]&gt;=1,BOM[[#This Row],[In Stock]]-BOM[[#This Row],[Total Quantity]],"Insufficient Stock")</f>
        <v>Insufficient Stock</v>
      </c>
    </row>
    <row r="6" spans="2:21" x14ac:dyDescent="0.3">
      <c r="B6" t="s">
        <v>65</v>
      </c>
      <c r="C6" t="s">
        <v>5</v>
      </c>
      <c r="D6" t="s">
        <v>4</v>
      </c>
      <c r="E6" t="s">
        <v>98</v>
      </c>
      <c r="F6" s="2" t="s">
        <v>61</v>
      </c>
      <c r="G6" s="25">
        <v>1</v>
      </c>
      <c r="H6" s="1">
        <v>0</v>
      </c>
      <c r="I6" s="1">
        <v>0</v>
      </c>
      <c r="J6">
        <v>1</v>
      </c>
      <c r="K6" cm="1">
        <f t="array" ref="K6">IF(BOM[[#This Row],[Item Type]]="Materials",ROUNDUP(SUMPRODUCT(IFERROR(VALUE(LEFT(BOM[Supplier Number], FIND("g", BOM[Supplier Number]) - 1)),0) * (BOM[Item Type] = "3D Print")*((BOM[QTY per Assy]*$C$2+(ROUNDUP(BOM[QTY per Assy]*$C$2*0.1,0)))-BOM[In Stock]))/500,0)+1,ROUNDUP(BOM[[#This Row],[QTY per Assy]]*$C$2,0))</f>
        <v>14</v>
      </c>
      <c r="L6">
        <f>IF(BOM[[#This Row],[Item Type]]="Fixings",ROUNDUP(BOM[[#This Row],[Course Quantity]]*0.5,0), ROUNDUP(BOM[[#This Row],[Course Quantity]]*0.1,0))</f>
        <v>2</v>
      </c>
      <c r="M6">
        <f>BOM[[#This Row],[Course Quantity]]+BOM[[#This Row],[Required Spares]]</f>
        <v>16</v>
      </c>
      <c r="N6" s="1">
        <f>IFERROR(IFERROR(IF(BOM[[#This Row],[MOQ]]&gt;=BOM[[#This Row],[Total Quantity]],BOM[[#This Row],[Pack Cost (inc. VAT)]],IF(MOD(BOM[[#This Row],[Total Quantity]],BOM[[#This Row],[MOQ]]) = 0, BOM[[#This Row],[Pack Cost (inc. VAT)]]*BOM[[#This Row],[Total Quantity]],((ROUND(BOM[[#This Row],[Total Quantity]]/BOM[[#This Row],[MOQ]],0)+1)*BOM[[#This Row],[Pack Cost (inc. VAT)]]))),"")+BOM[[#This Row],[Estimated Delivery Cost]],"")</f>
        <v>0</v>
      </c>
      <c r="O6">
        <v>9</v>
      </c>
      <c r="P6" s="1">
        <f>IFERROR(BOM[[#This Row],[Estimated Delivery Cost]]+(BOM[[#This Row],[Pack Cost (inc. VAT)]]*ROUNDUP(BOM[[#This Row],[In Stock]]/BOM[[#This Row],[MOQ]],0)),"")</f>
        <v>0</v>
      </c>
      <c r="Q6">
        <f>IFERROR(IF(BOM[[#This Row],[In Stock]]&lt;BOM[[#This Row],[Total Quantity]],ROUNDUP((BOM[[#This Row],[Total Quantity]]-BOM[[#This Row],[In Stock]])/BOM[[#This Row],[MOQ]],0),""),"")</f>
        <v>7</v>
      </c>
      <c r="R6">
        <f>IFERROR(BOM[[#This Row],[Packs to Replenish]]*BOM[[#This Row],[MOQ]],"")</f>
        <v>7</v>
      </c>
      <c r="S6" s="1">
        <f>IFERROR(((BOM[[#This Row],[Packs to Replenish]]*BOM[[#This Row],[Pack Cost (inc. VAT)]])+BOM[[#This Row],[Estimated Delivery Cost]]),"")</f>
        <v>0</v>
      </c>
      <c r="U6" t="str">
        <f>IF(BOM[[#This Row],[In Stock]]-BOM[[#This Row],[Total Quantity]]&gt;=1,BOM[[#This Row],[In Stock]]-BOM[[#This Row],[Total Quantity]],"Insufficient Stock")</f>
        <v>Insufficient Stock</v>
      </c>
    </row>
    <row r="7" spans="2:21" x14ac:dyDescent="0.3">
      <c r="B7" t="s">
        <v>66</v>
      </c>
      <c r="C7" t="s">
        <v>6</v>
      </c>
      <c r="D7" t="s">
        <v>4</v>
      </c>
      <c r="E7" t="s">
        <v>98</v>
      </c>
      <c r="F7" s="2" t="s">
        <v>62</v>
      </c>
      <c r="G7" s="25">
        <v>1</v>
      </c>
      <c r="H7" s="1">
        <v>0</v>
      </c>
      <c r="I7" s="1">
        <v>0</v>
      </c>
      <c r="J7">
        <v>1</v>
      </c>
      <c r="K7" cm="1">
        <f t="array" ref="K7">IF(BOM[[#This Row],[Item Type]]="Materials",ROUNDUP(SUMPRODUCT(IFERROR(VALUE(LEFT(BOM[Supplier Number], FIND("g", BOM[Supplier Number]) - 1)),0) * (BOM[Item Type] = "3D Print")*((BOM[QTY per Assy]*$C$2+(ROUNDUP(BOM[QTY per Assy]*$C$2*0.1,0)))-BOM[In Stock]))/500,0)+1,ROUNDUP(BOM[[#This Row],[QTY per Assy]]*$C$2,0))</f>
        <v>14</v>
      </c>
      <c r="L7">
        <f>IF(BOM[[#This Row],[Item Type]]="Fixings",ROUNDUP(BOM[[#This Row],[Course Quantity]]*0.5,0), ROUNDUP(BOM[[#This Row],[Course Quantity]]*0.1,0))</f>
        <v>2</v>
      </c>
      <c r="M7">
        <f>BOM[[#This Row],[Course Quantity]]+BOM[[#This Row],[Required Spares]]</f>
        <v>16</v>
      </c>
      <c r="N7" s="1">
        <f>IFERROR(IFERROR(IF(BOM[[#This Row],[MOQ]]&gt;=BOM[[#This Row],[Total Quantity]],BOM[[#This Row],[Pack Cost (inc. VAT)]],IF(MOD(BOM[[#This Row],[Total Quantity]],BOM[[#This Row],[MOQ]]) = 0, BOM[[#This Row],[Pack Cost (inc. VAT)]]*BOM[[#This Row],[Total Quantity]],((ROUND(BOM[[#This Row],[Total Quantity]]/BOM[[#This Row],[MOQ]],0)+1)*BOM[[#This Row],[Pack Cost (inc. VAT)]]))),"")+BOM[[#This Row],[Estimated Delivery Cost]],"")</f>
        <v>0</v>
      </c>
      <c r="O7">
        <v>9</v>
      </c>
      <c r="P7" s="1">
        <f>IFERROR(BOM[[#This Row],[Estimated Delivery Cost]]+(BOM[[#This Row],[Pack Cost (inc. VAT)]]*ROUNDUP(BOM[[#This Row],[In Stock]]/BOM[[#This Row],[MOQ]],0)),"")</f>
        <v>0</v>
      </c>
      <c r="Q7">
        <f>IFERROR(IF(BOM[[#This Row],[In Stock]]&lt;BOM[[#This Row],[Total Quantity]],ROUNDUP((BOM[[#This Row],[Total Quantity]]-BOM[[#This Row],[In Stock]])/BOM[[#This Row],[MOQ]],0),""),"")</f>
        <v>7</v>
      </c>
      <c r="R7">
        <f>IFERROR(BOM[[#This Row],[Packs to Replenish]]*BOM[[#This Row],[MOQ]],"")</f>
        <v>7</v>
      </c>
      <c r="S7" s="1">
        <f>IFERROR(((BOM[[#This Row],[Packs to Replenish]]*BOM[[#This Row],[Pack Cost (inc. VAT)]])+BOM[[#This Row],[Estimated Delivery Cost]]),"")</f>
        <v>0</v>
      </c>
      <c r="U7" t="str">
        <f>IF(BOM[[#This Row],[In Stock]]-BOM[[#This Row],[Total Quantity]]&gt;=1,BOM[[#This Row],[In Stock]]-BOM[[#This Row],[Total Quantity]],"Insufficient Stock")</f>
        <v>Insufficient Stock</v>
      </c>
    </row>
    <row r="8" spans="2:21" x14ac:dyDescent="0.3">
      <c r="B8" t="s">
        <v>67</v>
      </c>
      <c r="C8" t="s">
        <v>124</v>
      </c>
      <c r="D8" t="s">
        <v>4</v>
      </c>
      <c r="E8" t="s">
        <v>98</v>
      </c>
      <c r="F8" s="2" t="s">
        <v>63</v>
      </c>
      <c r="G8" s="25">
        <v>1</v>
      </c>
      <c r="H8" s="1">
        <v>0</v>
      </c>
      <c r="I8" s="1">
        <v>0</v>
      </c>
      <c r="J8">
        <v>1</v>
      </c>
      <c r="K8" cm="1">
        <f t="array" ref="K8">IF(BOM[[#This Row],[Item Type]]="Materials",ROUNDUP(SUMPRODUCT(IFERROR(VALUE(LEFT(BOM[Supplier Number], FIND("g", BOM[Supplier Number]) - 1)),0) * (BOM[Item Type] = "3D Print")*((BOM[QTY per Assy]*$C$2+(ROUNDUP(BOM[QTY per Assy]*$C$2*0.1,0)))-BOM[In Stock]))/500,0)+1,ROUNDUP(BOM[[#This Row],[QTY per Assy]]*$C$2,0))</f>
        <v>14</v>
      </c>
      <c r="L8">
        <f>IF(BOM[[#This Row],[Item Type]]="Fixings",ROUNDUP(BOM[[#This Row],[Course Quantity]]*0.5,0), ROUNDUP(BOM[[#This Row],[Course Quantity]]*0.1,0))</f>
        <v>2</v>
      </c>
      <c r="M8">
        <f>BOM[[#This Row],[Course Quantity]]+BOM[[#This Row],[Required Spares]]</f>
        <v>16</v>
      </c>
      <c r="N8" s="1">
        <f>IFERROR(IFERROR(IF(BOM[[#This Row],[MOQ]]&gt;=BOM[[#This Row],[Total Quantity]],BOM[[#This Row],[Pack Cost (inc. VAT)]],IF(MOD(BOM[[#This Row],[Total Quantity]],BOM[[#This Row],[MOQ]]) = 0, BOM[[#This Row],[Pack Cost (inc. VAT)]]*BOM[[#This Row],[Total Quantity]],((ROUND(BOM[[#This Row],[Total Quantity]]/BOM[[#This Row],[MOQ]],0)+1)*BOM[[#This Row],[Pack Cost (inc. VAT)]]))),"")+BOM[[#This Row],[Estimated Delivery Cost]],"")</f>
        <v>0</v>
      </c>
      <c r="O8">
        <v>0</v>
      </c>
      <c r="P8" s="1">
        <f>IFERROR(BOM[[#This Row],[Estimated Delivery Cost]]+(BOM[[#This Row],[Pack Cost (inc. VAT)]]*ROUNDUP(BOM[[#This Row],[In Stock]]/BOM[[#This Row],[MOQ]],0)),"")</f>
        <v>0</v>
      </c>
      <c r="Q8">
        <f>IFERROR(IF(BOM[[#This Row],[In Stock]]&lt;BOM[[#This Row],[Total Quantity]],ROUNDUP((BOM[[#This Row],[Total Quantity]]-BOM[[#This Row],[In Stock]])/BOM[[#This Row],[MOQ]],0),""),"")</f>
        <v>16</v>
      </c>
      <c r="R8">
        <f>IFERROR(BOM[[#This Row],[Packs to Replenish]]*BOM[[#This Row],[MOQ]],"")</f>
        <v>16</v>
      </c>
      <c r="S8" s="1">
        <f>IFERROR(((BOM[[#This Row],[Packs to Replenish]]*BOM[[#This Row],[Pack Cost (inc. VAT)]])+BOM[[#This Row],[Estimated Delivery Cost]]),"")</f>
        <v>0</v>
      </c>
      <c r="U8" t="str">
        <f>IF(BOM[[#This Row],[In Stock]]-BOM[[#This Row],[Total Quantity]]&gt;=1,BOM[[#This Row],[In Stock]]-BOM[[#This Row],[Total Quantity]],"Insufficient Stock")</f>
        <v>Insufficient Stock</v>
      </c>
    </row>
    <row r="9" spans="2:21" x14ac:dyDescent="0.3">
      <c r="B9" t="s">
        <v>125</v>
      </c>
      <c r="C9" t="s">
        <v>135</v>
      </c>
      <c r="D9" t="s">
        <v>4</v>
      </c>
      <c r="E9" t="s">
        <v>98</v>
      </c>
      <c r="F9" s="2">
        <v>2.35</v>
      </c>
      <c r="G9" s="25">
        <v>4</v>
      </c>
      <c r="H9" s="1">
        <v>0</v>
      </c>
      <c r="I9" s="1">
        <v>0</v>
      </c>
      <c r="J9">
        <v>1</v>
      </c>
      <c r="K9" cm="1">
        <f t="array" ref="K9">IF(BOM[[#This Row],[Item Type]]="Materials",ROUNDUP(SUMPRODUCT(IFERROR(VALUE(LEFT(BOM[Supplier Number], FIND("g", BOM[Supplier Number]) - 1)),0) * (BOM[Item Type] = "3D Print")*((BOM[QTY per Assy]*$C$2+(ROUNDUP(BOM[QTY per Assy]*$C$2*0.1,0)))-BOM[In Stock]))/500,0)+1,ROUNDUP(BOM[[#This Row],[QTY per Assy]]*$C$2,0))</f>
        <v>56</v>
      </c>
      <c r="L9">
        <f>IF(BOM[[#This Row],[Item Type]]="Fixings",ROUNDUP(BOM[[#This Row],[Course Quantity]]*0.5,0), ROUNDUP(BOM[[#This Row],[Course Quantity]]*0.1,0))</f>
        <v>6</v>
      </c>
      <c r="M9">
        <f>BOM[[#This Row],[Course Quantity]]+BOM[[#This Row],[Required Spares]]</f>
        <v>62</v>
      </c>
      <c r="N9" s="1">
        <f>IFERROR(IFERROR(IF(BOM[[#This Row],[MOQ]]&gt;=BOM[[#This Row],[Total Quantity]],BOM[[#This Row],[Pack Cost (inc. VAT)]],IF(MOD(BOM[[#This Row],[Total Quantity]],BOM[[#This Row],[MOQ]]) = 0, BOM[[#This Row],[Pack Cost (inc. VAT)]]*BOM[[#This Row],[Total Quantity]],((ROUND(BOM[[#This Row],[Total Quantity]]/BOM[[#This Row],[MOQ]],0)+1)*BOM[[#This Row],[Pack Cost (inc. VAT)]]))),"")+BOM[[#This Row],[Estimated Delivery Cost]],"")</f>
        <v>0</v>
      </c>
      <c r="O9">
        <v>0</v>
      </c>
      <c r="P9" s="1">
        <f>IFERROR(BOM[[#This Row],[Estimated Delivery Cost]]+(BOM[[#This Row],[Pack Cost (inc. VAT)]]*ROUNDUP(BOM[[#This Row],[In Stock]]/BOM[[#This Row],[MOQ]],0)),"")</f>
        <v>0</v>
      </c>
      <c r="Q9">
        <f>IFERROR(IF(BOM[[#This Row],[In Stock]]&lt;BOM[[#This Row],[Total Quantity]],ROUNDUP((BOM[[#This Row],[Total Quantity]]-BOM[[#This Row],[In Stock]])/BOM[[#This Row],[MOQ]],0),""),"")</f>
        <v>62</v>
      </c>
      <c r="R9">
        <f>IFERROR(BOM[[#This Row],[Packs to Replenish]]*BOM[[#This Row],[MOQ]],"")</f>
        <v>62</v>
      </c>
      <c r="S9" s="1">
        <f>IFERROR(((BOM[[#This Row],[Packs to Replenish]]*BOM[[#This Row],[Pack Cost (inc. VAT)]])+BOM[[#This Row],[Estimated Delivery Cost]]),"")</f>
        <v>0</v>
      </c>
      <c r="U9" t="str">
        <f>IF(BOM[[#This Row],[In Stock]]-BOM[[#This Row],[Total Quantity]]&gt;=1,BOM[[#This Row],[In Stock]]-BOM[[#This Row],[Total Quantity]],"Insufficient Stock")</f>
        <v>Insufficient Stock</v>
      </c>
    </row>
    <row r="10" spans="2:21" x14ac:dyDescent="0.3">
      <c r="B10" t="s">
        <v>126</v>
      </c>
      <c r="C10" t="s">
        <v>127</v>
      </c>
      <c r="D10" t="s">
        <v>4</v>
      </c>
      <c r="E10" t="s">
        <v>98</v>
      </c>
      <c r="F10" s="2" t="s">
        <v>128</v>
      </c>
      <c r="G10" s="25">
        <v>1</v>
      </c>
      <c r="H10" s="1">
        <v>0</v>
      </c>
      <c r="I10" s="1">
        <v>0</v>
      </c>
      <c r="J10">
        <v>1</v>
      </c>
      <c r="K10" cm="1">
        <f t="array" ref="K10">IF(BOM[[#This Row],[Item Type]]="Materials",ROUNDUP(SUMPRODUCT(IFERROR(VALUE(LEFT(BOM[Supplier Number], FIND("g", BOM[Supplier Number]) - 1)),0) * (BOM[Item Type] = "3D Print")*((BOM[QTY per Assy]*$C$2+(ROUNDUP(BOM[QTY per Assy]*$C$2*0.1,0)))-BOM[In Stock]))/500,0)+1,ROUNDUP(BOM[[#This Row],[QTY per Assy]]*$C$2,0))</f>
        <v>14</v>
      </c>
      <c r="L10">
        <f>IF(BOM[[#This Row],[Item Type]]="Fixings",ROUNDUP(BOM[[#This Row],[Course Quantity]]*0.5,0), ROUNDUP(BOM[[#This Row],[Course Quantity]]*0.1,0))</f>
        <v>2</v>
      </c>
      <c r="M10">
        <f>BOM[[#This Row],[Course Quantity]]+BOM[[#This Row],[Required Spares]]</f>
        <v>16</v>
      </c>
      <c r="N10" s="1">
        <f>IFERROR(IFERROR(IF(BOM[[#This Row],[MOQ]]&gt;=BOM[[#This Row],[Total Quantity]],BOM[[#This Row],[Pack Cost (inc. VAT)]],IF(MOD(BOM[[#This Row],[Total Quantity]],BOM[[#This Row],[MOQ]]) = 0, BOM[[#This Row],[Pack Cost (inc. VAT)]]*BOM[[#This Row],[Total Quantity]],((ROUND(BOM[[#This Row],[Total Quantity]]/BOM[[#This Row],[MOQ]],0)+1)*BOM[[#This Row],[Pack Cost (inc. VAT)]]))),"")+BOM[[#This Row],[Estimated Delivery Cost]],"")</f>
        <v>0</v>
      </c>
      <c r="O10">
        <v>0</v>
      </c>
      <c r="P10" s="1">
        <f>IFERROR(BOM[[#This Row],[Estimated Delivery Cost]]+(BOM[[#This Row],[Pack Cost (inc. VAT)]]*ROUNDUP(BOM[[#This Row],[In Stock]]/BOM[[#This Row],[MOQ]],0)),"")</f>
        <v>0</v>
      </c>
      <c r="Q10">
        <f>IFERROR(IF(BOM[[#This Row],[In Stock]]&lt;BOM[[#This Row],[Total Quantity]],ROUNDUP((BOM[[#This Row],[Total Quantity]]-BOM[[#This Row],[In Stock]])/BOM[[#This Row],[MOQ]],0),""),"")</f>
        <v>16</v>
      </c>
      <c r="R10">
        <f>IFERROR(BOM[[#This Row],[Packs to Replenish]]*BOM[[#This Row],[MOQ]],"")</f>
        <v>16</v>
      </c>
      <c r="S10" s="1">
        <f>IFERROR(((BOM[[#This Row],[Packs to Replenish]]*BOM[[#This Row],[Pack Cost (inc. VAT)]])+BOM[[#This Row],[Estimated Delivery Cost]]),"")</f>
        <v>0</v>
      </c>
      <c r="U10" t="str">
        <f>IF(BOM[[#This Row],[In Stock]]-BOM[[#This Row],[Total Quantity]]&gt;=1,BOM[[#This Row],[In Stock]]-BOM[[#This Row],[Total Quantity]],"Insufficient Stock")</f>
        <v>Insufficient Stock</v>
      </c>
    </row>
    <row r="11" spans="2:21" x14ac:dyDescent="0.3">
      <c r="B11" t="s">
        <v>68</v>
      </c>
      <c r="C11" t="s">
        <v>7</v>
      </c>
      <c r="D11" t="s">
        <v>4</v>
      </c>
      <c r="E11" t="s">
        <v>98</v>
      </c>
      <c r="F11" s="2" t="s">
        <v>111</v>
      </c>
      <c r="G11" s="25">
        <v>1</v>
      </c>
      <c r="H11" s="1">
        <v>0</v>
      </c>
      <c r="I11" s="1">
        <v>0</v>
      </c>
      <c r="J11">
        <v>1</v>
      </c>
      <c r="K11" cm="1">
        <f t="array" ref="K11">IF(BOM[[#This Row],[Item Type]]="Materials",ROUNDUP(SUMPRODUCT(IFERROR(VALUE(LEFT(BOM[Supplier Number], FIND("g", BOM[Supplier Number]) - 1)),0) * (BOM[Item Type] = "3D Print")*((BOM[QTY per Assy]*$C$2+(ROUNDUP(BOM[QTY per Assy]*$C$2*0.1,0)))-BOM[In Stock]))/500,0)+1,ROUNDUP(BOM[[#This Row],[QTY per Assy]]*$C$2,0))</f>
        <v>14</v>
      </c>
      <c r="L11">
        <f>IF(BOM[[#This Row],[Item Type]]="Fixings",ROUNDUP(BOM[[#This Row],[Course Quantity]]*0.5,0), ROUNDUP(BOM[[#This Row],[Course Quantity]]*0.1,0))</f>
        <v>2</v>
      </c>
      <c r="M11">
        <f>BOM[[#This Row],[Course Quantity]]+BOM[[#This Row],[Required Spares]]</f>
        <v>16</v>
      </c>
      <c r="N11" s="1">
        <f>IFERROR(IFERROR(IF(BOM[[#This Row],[MOQ]]&gt;=BOM[[#This Row],[Total Quantity]],BOM[[#This Row],[Pack Cost (inc. VAT)]],IF(MOD(BOM[[#This Row],[Total Quantity]],BOM[[#This Row],[MOQ]]) = 0, BOM[[#This Row],[Pack Cost (inc. VAT)]]*BOM[[#This Row],[Total Quantity]],((ROUND(BOM[[#This Row],[Total Quantity]]/BOM[[#This Row],[MOQ]],0)+1)*BOM[[#This Row],[Pack Cost (inc. VAT)]]))),"")+BOM[[#This Row],[Estimated Delivery Cost]],"")</f>
        <v>0</v>
      </c>
      <c r="O11">
        <v>0</v>
      </c>
      <c r="P11" s="1">
        <f>IFERROR(BOM[[#This Row],[Estimated Delivery Cost]]+(BOM[[#This Row],[Pack Cost (inc. VAT)]]*ROUNDUP(BOM[[#This Row],[In Stock]]/BOM[[#This Row],[MOQ]],0)),"")</f>
        <v>0</v>
      </c>
      <c r="Q11">
        <f>IFERROR(IF(BOM[[#This Row],[In Stock]]&lt;BOM[[#This Row],[Total Quantity]],ROUNDUP((BOM[[#This Row],[Total Quantity]]-BOM[[#This Row],[In Stock]])/BOM[[#This Row],[MOQ]],0),""),"")</f>
        <v>16</v>
      </c>
      <c r="R11">
        <f>IFERROR(BOM[[#This Row],[Packs to Replenish]]*BOM[[#This Row],[MOQ]],"")</f>
        <v>16</v>
      </c>
      <c r="S11" s="1">
        <f>IFERROR(((BOM[[#This Row],[Packs to Replenish]]*BOM[[#This Row],[Pack Cost (inc. VAT)]])+BOM[[#This Row],[Estimated Delivery Cost]]),"")</f>
        <v>0</v>
      </c>
      <c r="U11" t="str">
        <f>IF(BOM[[#This Row],[In Stock]]-BOM[[#This Row],[Total Quantity]]&gt;=1,BOM[[#This Row],[In Stock]]-BOM[[#This Row],[Total Quantity]],"Insufficient Stock")</f>
        <v>Insufficient Stock</v>
      </c>
    </row>
    <row r="12" spans="2:21" x14ac:dyDescent="0.3">
      <c r="B12" t="s">
        <v>70</v>
      </c>
      <c r="C12" t="s">
        <v>8</v>
      </c>
      <c r="D12" t="s">
        <v>9</v>
      </c>
      <c r="E12" t="s">
        <v>42</v>
      </c>
      <c r="F12" s="2" t="s">
        <v>43</v>
      </c>
      <c r="G12" s="25">
        <v>1</v>
      </c>
      <c r="H12" s="1">
        <v>24.5</v>
      </c>
      <c r="I12" s="1">
        <v>3.99</v>
      </c>
      <c r="J12">
        <v>1</v>
      </c>
      <c r="K12" cm="1">
        <f t="array" ref="K12">IF(BOM[[#This Row],[Item Type]]="Materials",ROUNDUP(SUMPRODUCT(IFERROR(VALUE(LEFT(BOM[Supplier Number], FIND("g", BOM[Supplier Number]) - 1)),0) * (BOM[Item Type] = "3D Print")*((BOM[QTY per Assy]*$C$2+(ROUNDUP(BOM[QTY per Assy]*$C$2*0.1,0)))-BOM[In Stock]))/500,0)+1,ROUNDUP(BOM[[#This Row],[QTY per Assy]]*$C$2,0))</f>
        <v>14</v>
      </c>
      <c r="L12">
        <f>IF(BOM[[#This Row],[Item Type]]="Fixings",ROUNDUP(BOM[[#This Row],[Course Quantity]]*0.5,0), ROUNDUP(BOM[[#This Row],[Course Quantity]]*0.1,0))</f>
        <v>2</v>
      </c>
      <c r="M12">
        <f>BOM[[#This Row],[Course Quantity]]+BOM[[#This Row],[Required Spares]]</f>
        <v>16</v>
      </c>
      <c r="N12" s="1">
        <f>IFERROR(IFERROR(IF(BOM[[#This Row],[MOQ]]&gt;=BOM[[#This Row],[Total Quantity]],BOM[[#This Row],[Pack Cost (inc. VAT)]],IF(MOD(BOM[[#This Row],[Total Quantity]],BOM[[#This Row],[MOQ]]) = 0, BOM[[#This Row],[Pack Cost (inc. VAT)]]*BOM[[#This Row],[Total Quantity]],((ROUND(BOM[[#This Row],[Total Quantity]]/BOM[[#This Row],[MOQ]],0)+1)*BOM[[#This Row],[Pack Cost (inc. VAT)]]))),"")+BOM[[#This Row],[Estimated Delivery Cost]],"")</f>
        <v>395.99</v>
      </c>
      <c r="O12">
        <v>6</v>
      </c>
      <c r="P12" s="1">
        <f>IFERROR(BOM[[#This Row],[Estimated Delivery Cost]]+(BOM[[#This Row],[Pack Cost (inc. VAT)]]*ROUNDUP(BOM[[#This Row],[In Stock]]/BOM[[#This Row],[MOQ]],0)),"")</f>
        <v>150.99</v>
      </c>
      <c r="Q12">
        <f>IFERROR(IF(BOM[[#This Row],[In Stock]]&lt;BOM[[#This Row],[Total Quantity]],ROUNDUP((BOM[[#This Row],[Total Quantity]]-BOM[[#This Row],[In Stock]])/BOM[[#This Row],[MOQ]],0),""),"")</f>
        <v>10</v>
      </c>
      <c r="R12">
        <f>IFERROR(BOM[[#This Row],[Packs to Replenish]]*BOM[[#This Row],[MOQ]],"")</f>
        <v>10</v>
      </c>
      <c r="S12" s="1">
        <f>IFERROR(((BOM[[#This Row],[Packs to Replenish]]*BOM[[#This Row],[Pack Cost (inc. VAT)]])+BOM[[#This Row],[Estimated Delivery Cost]]),"")</f>
        <v>248.99</v>
      </c>
      <c r="U12" t="str">
        <f>IF(BOM[[#This Row],[In Stock]]-BOM[[#This Row],[Total Quantity]]&gt;=1,BOM[[#This Row],[In Stock]]-BOM[[#This Row],[Total Quantity]],"Insufficient Stock")</f>
        <v>Insufficient Stock</v>
      </c>
    </row>
    <row r="13" spans="2:21" x14ac:dyDescent="0.3">
      <c r="B13" t="s">
        <v>122</v>
      </c>
      <c r="C13" t="s">
        <v>123</v>
      </c>
      <c r="D13" t="s">
        <v>9</v>
      </c>
      <c r="E13" t="s">
        <v>42</v>
      </c>
      <c r="F13" s="2">
        <v>100058</v>
      </c>
      <c r="G13" s="25">
        <v>2</v>
      </c>
      <c r="H13" s="1">
        <v>3</v>
      </c>
      <c r="I13" s="1">
        <v>3.99</v>
      </c>
      <c r="J13">
        <v>1</v>
      </c>
      <c r="K13" cm="1">
        <f t="array" ref="K13">IF(BOM[[#This Row],[Item Type]]="Materials",ROUNDUP(SUMPRODUCT(IFERROR(VALUE(LEFT(BOM[Supplier Number], FIND("g", BOM[Supplier Number]) - 1)),0) * (BOM[Item Type] = "3D Print")*((BOM[QTY per Assy]*$C$2+(ROUNDUP(BOM[QTY per Assy]*$C$2*0.1,0)))-BOM[In Stock]))/500,0)+1,ROUNDUP(BOM[[#This Row],[QTY per Assy]]*$C$2,0))</f>
        <v>28</v>
      </c>
      <c r="L13">
        <f>IF(BOM[[#This Row],[Item Type]]="Fixings",ROUNDUP(BOM[[#This Row],[Course Quantity]]*0.5,0), ROUNDUP(BOM[[#This Row],[Course Quantity]]*0.1,0))</f>
        <v>3</v>
      </c>
      <c r="M13">
        <f>BOM[[#This Row],[Course Quantity]]+BOM[[#This Row],[Required Spares]]</f>
        <v>31</v>
      </c>
      <c r="N13" s="1">
        <f>IFERROR(IFERROR(IF(BOM[[#This Row],[MOQ]]&gt;=BOM[[#This Row],[Total Quantity]],BOM[[#This Row],[Pack Cost (inc. VAT)]],IF(MOD(BOM[[#This Row],[Total Quantity]],BOM[[#This Row],[MOQ]]) = 0, BOM[[#This Row],[Pack Cost (inc. VAT)]]*BOM[[#This Row],[Total Quantity]],((ROUND(BOM[[#This Row],[Total Quantity]]/BOM[[#This Row],[MOQ]],0)+1)*BOM[[#This Row],[Pack Cost (inc. VAT)]]))),"")+BOM[[#This Row],[Estimated Delivery Cost]],"")</f>
        <v>96.99</v>
      </c>
      <c r="O13">
        <v>5</v>
      </c>
      <c r="P13" s="1">
        <f>IFERROR(BOM[[#This Row],[Estimated Delivery Cost]]+(BOM[[#This Row],[Pack Cost (inc. VAT)]]*ROUNDUP(BOM[[#This Row],[In Stock]]/BOM[[#This Row],[MOQ]],0)),"")</f>
        <v>18.990000000000002</v>
      </c>
      <c r="Q13">
        <f>IFERROR(IF(BOM[[#This Row],[In Stock]]&lt;BOM[[#This Row],[Total Quantity]],ROUNDUP((BOM[[#This Row],[Total Quantity]]-BOM[[#This Row],[In Stock]])/BOM[[#This Row],[MOQ]],0),""),"")</f>
        <v>26</v>
      </c>
      <c r="R13">
        <f>IFERROR(BOM[[#This Row],[Packs to Replenish]]*BOM[[#This Row],[MOQ]],"")</f>
        <v>26</v>
      </c>
      <c r="S13" s="1">
        <f>IFERROR(((BOM[[#This Row],[Packs to Replenish]]*BOM[[#This Row],[Pack Cost (inc. VAT)]])+BOM[[#This Row],[Estimated Delivery Cost]]),"")</f>
        <v>81.99</v>
      </c>
      <c r="U13" t="str">
        <f>IF(BOM[[#This Row],[In Stock]]-BOM[[#This Row],[Total Quantity]]&gt;=1,BOM[[#This Row],[In Stock]]-BOM[[#This Row],[Total Quantity]],"Insufficient Stock")</f>
        <v>Insufficient Stock</v>
      </c>
    </row>
    <row r="14" spans="2:21" x14ac:dyDescent="0.3">
      <c r="B14" t="s">
        <v>71</v>
      </c>
      <c r="C14" t="s">
        <v>10</v>
      </c>
      <c r="D14" t="s">
        <v>9</v>
      </c>
      <c r="E14" t="s">
        <v>42</v>
      </c>
      <c r="F14" s="2">
        <v>102708</v>
      </c>
      <c r="G14" s="25">
        <v>1</v>
      </c>
      <c r="H14" s="1">
        <v>3.5</v>
      </c>
      <c r="I14" s="1">
        <v>3.99</v>
      </c>
      <c r="J14">
        <v>1</v>
      </c>
      <c r="K14" cm="1">
        <f t="array" ref="K14">IF(BOM[[#This Row],[Item Type]]="Materials",ROUNDUP(SUMPRODUCT(IFERROR(VALUE(LEFT(BOM[Supplier Number], FIND("g", BOM[Supplier Number]) - 1)),0) * (BOM[Item Type] = "3D Print")*((BOM[QTY per Assy]*$C$2+(ROUNDUP(BOM[QTY per Assy]*$C$2*0.1,0)))-BOM[In Stock]))/500,0)+1,ROUNDUP(BOM[[#This Row],[QTY per Assy]]*$C$2,0))</f>
        <v>14</v>
      </c>
      <c r="L14">
        <f>IF(BOM[[#This Row],[Item Type]]="Fixings",ROUNDUP(BOM[[#This Row],[Course Quantity]]*0.5,0), ROUNDUP(BOM[[#This Row],[Course Quantity]]*0.1,0))</f>
        <v>2</v>
      </c>
      <c r="M14">
        <f>BOM[[#This Row],[Course Quantity]]+BOM[[#This Row],[Required Spares]]</f>
        <v>16</v>
      </c>
      <c r="N14" s="1">
        <f>IFERROR(IFERROR(IF(BOM[[#This Row],[MOQ]]&gt;=BOM[[#This Row],[Total Quantity]],BOM[[#This Row],[Pack Cost (inc. VAT)]],IF(MOD(BOM[[#This Row],[Total Quantity]],BOM[[#This Row],[MOQ]]) = 0, BOM[[#This Row],[Pack Cost (inc. VAT)]]*BOM[[#This Row],[Total Quantity]],((ROUND(BOM[[#This Row],[Total Quantity]]/BOM[[#This Row],[MOQ]],0)+1)*BOM[[#This Row],[Pack Cost (inc. VAT)]]))),"")+BOM[[#This Row],[Estimated Delivery Cost]],"")</f>
        <v>59.99</v>
      </c>
      <c r="O14">
        <v>12</v>
      </c>
      <c r="P14" s="1">
        <f>IFERROR(BOM[[#This Row],[Estimated Delivery Cost]]+(BOM[[#This Row],[Pack Cost (inc. VAT)]]*ROUNDUP(BOM[[#This Row],[In Stock]]/BOM[[#This Row],[MOQ]],0)),"")</f>
        <v>45.99</v>
      </c>
      <c r="Q14">
        <f>IFERROR(IF(BOM[[#This Row],[In Stock]]&lt;BOM[[#This Row],[Total Quantity]],ROUNDUP((BOM[[#This Row],[Total Quantity]]-BOM[[#This Row],[In Stock]])/BOM[[#This Row],[MOQ]],0),""),"")</f>
        <v>4</v>
      </c>
      <c r="R14">
        <f>IFERROR(BOM[[#This Row],[Packs to Replenish]]*BOM[[#This Row],[MOQ]],"")</f>
        <v>4</v>
      </c>
      <c r="S14" s="1">
        <f>IFERROR(((BOM[[#This Row],[Packs to Replenish]]*BOM[[#This Row],[Pack Cost (inc. VAT)]])+BOM[[#This Row],[Estimated Delivery Cost]]),"")</f>
        <v>17.990000000000002</v>
      </c>
      <c r="U14" t="str">
        <f>IF(BOM[[#This Row],[In Stock]]-BOM[[#This Row],[Total Quantity]]&gt;=1,BOM[[#This Row],[In Stock]]-BOM[[#This Row],[Total Quantity]],"Insufficient Stock")</f>
        <v>Insufficient Stock</v>
      </c>
    </row>
    <row r="15" spans="2:21" x14ac:dyDescent="0.3">
      <c r="B15" t="s">
        <v>73</v>
      </c>
      <c r="C15" t="s">
        <v>12</v>
      </c>
      <c r="D15" t="s">
        <v>9</v>
      </c>
      <c r="E15" t="s">
        <v>42</v>
      </c>
      <c r="F15" s="2">
        <v>104275</v>
      </c>
      <c r="G15" s="25">
        <v>2</v>
      </c>
      <c r="H15" s="1">
        <v>2.6</v>
      </c>
      <c r="I15" s="1">
        <v>3.99</v>
      </c>
      <c r="J15">
        <v>1</v>
      </c>
      <c r="K15" cm="1">
        <f t="array" ref="K15">IF(BOM[[#This Row],[Item Type]]="Materials",ROUNDUP(SUMPRODUCT(IFERROR(VALUE(LEFT(BOM[Supplier Number], FIND("g", BOM[Supplier Number]) - 1)),0) * (BOM[Item Type] = "3D Print")*((BOM[QTY per Assy]*$C$2+(ROUNDUP(BOM[QTY per Assy]*$C$2*0.1,0)))-BOM[In Stock]))/500,0)+1,ROUNDUP(BOM[[#This Row],[QTY per Assy]]*$C$2,0))</f>
        <v>28</v>
      </c>
      <c r="L15">
        <f>IF(BOM[[#This Row],[Item Type]]="Fixings",ROUNDUP(BOM[[#This Row],[Course Quantity]]*0.5,0), ROUNDUP(BOM[[#This Row],[Course Quantity]]*0.1,0))</f>
        <v>3</v>
      </c>
      <c r="M15">
        <f>BOM[[#This Row],[Course Quantity]]+BOM[[#This Row],[Required Spares]]</f>
        <v>31</v>
      </c>
      <c r="N15" s="1">
        <f>IFERROR(IFERROR(IF(BOM[[#This Row],[MOQ]]&gt;=BOM[[#This Row],[Total Quantity]],BOM[[#This Row],[Pack Cost (inc. VAT)]],IF(MOD(BOM[[#This Row],[Total Quantity]],BOM[[#This Row],[MOQ]]) = 0, BOM[[#This Row],[Pack Cost (inc. VAT)]]*BOM[[#This Row],[Total Quantity]],((ROUND(BOM[[#This Row],[Total Quantity]]/BOM[[#This Row],[MOQ]],0)+1)*BOM[[#This Row],[Pack Cost (inc. VAT)]]))),"")+BOM[[#This Row],[Estimated Delivery Cost]],"")</f>
        <v>84.59</v>
      </c>
      <c r="O15">
        <v>18</v>
      </c>
      <c r="P15" s="1">
        <f>IFERROR(BOM[[#This Row],[Estimated Delivery Cost]]+(BOM[[#This Row],[Pack Cost (inc. VAT)]]*ROUNDUP(BOM[[#This Row],[In Stock]]/BOM[[#This Row],[MOQ]],0)),"")</f>
        <v>50.790000000000006</v>
      </c>
      <c r="Q15">
        <f>IFERROR(IF(BOM[[#This Row],[In Stock]]&lt;BOM[[#This Row],[Total Quantity]],ROUNDUP((BOM[[#This Row],[Total Quantity]]-BOM[[#This Row],[In Stock]])/BOM[[#This Row],[MOQ]],0),""),"")</f>
        <v>13</v>
      </c>
      <c r="R15">
        <f>IFERROR(BOM[[#This Row],[Packs to Replenish]]*BOM[[#This Row],[MOQ]],"")</f>
        <v>13</v>
      </c>
      <c r="S15" s="1">
        <f>IFERROR(((BOM[[#This Row],[Packs to Replenish]]*BOM[[#This Row],[Pack Cost (inc. VAT)]])+BOM[[#This Row],[Estimated Delivery Cost]]),"")</f>
        <v>37.790000000000006</v>
      </c>
      <c r="U15" t="str">
        <f>IF(BOM[[#This Row],[In Stock]]-BOM[[#This Row],[Total Quantity]]&gt;=1,BOM[[#This Row],[In Stock]]-BOM[[#This Row],[Total Quantity]],"Insufficient Stock")</f>
        <v>Insufficient Stock</v>
      </c>
    </row>
    <row r="16" spans="2:21" x14ac:dyDescent="0.3">
      <c r="B16" t="s">
        <v>76</v>
      </c>
      <c r="C16" t="s">
        <v>15</v>
      </c>
      <c r="D16" t="s">
        <v>9</v>
      </c>
      <c r="E16" t="s">
        <v>42</v>
      </c>
      <c r="F16" s="2">
        <v>100284</v>
      </c>
      <c r="G16" s="25">
        <v>2</v>
      </c>
      <c r="H16" s="1">
        <v>2</v>
      </c>
      <c r="I16" s="1">
        <v>3.99</v>
      </c>
      <c r="J16">
        <v>1</v>
      </c>
      <c r="K16" cm="1">
        <f t="array" ref="K16">IF(BOM[[#This Row],[Item Type]]="Materials",ROUNDUP(SUMPRODUCT(IFERROR(VALUE(LEFT(BOM[Supplier Number], FIND("g", BOM[Supplier Number]) - 1)),0) * (BOM[Item Type] = "3D Print")*((BOM[QTY per Assy]*$C$2+(ROUNDUP(BOM[QTY per Assy]*$C$2*0.1,0)))-BOM[In Stock]))/500,0)+1,ROUNDUP(BOM[[#This Row],[QTY per Assy]]*$C$2,0))</f>
        <v>28</v>
      </c>
      <c r="L16">
        <f>IF(BOM[[#This Row],[Item Type]]="Fixings",ROUNDUP(BOM[[#This Row],[Course Quantity]]*0.5,0), ROUNDUP(BOM[[#This Row],[Course Quantity]]*0.1,0))</f>
        <v>3</v>
      </c>
      <c r="M16">
        <f>BOM[[#This Row],[Course Quantity]]+BOM[[#This Row],[Required Spares]]</f>
        <v>31</v>
      </c>
      <c r="N16" s="1">
        <f>IFERROR(IFERROR(IF(BOM[[#This Row],[MOQ]]&gt;=BOM[[#This Row],[Total Quantity]],BOM[[#This Row],[Pack Cost (inc. VAT)]],IF(MOD(BOM[[#This Row],[Total Quantity]],BOM[[#This Row],[MOQ]]) = 0, BOM[[#This Row],[Pack Cost (inc. VAT)]]*BOM[[#This Row],[Total Quantity]],((ROUND(BOM[[#This Row],[Total Quantity]]/BOM[[#This Row],[MOQ]],0)+1)*BOM[[#This Row],[Pack Cost (inc. VAT)]]))),"")+BOM[[#This Row],[Estimated Delivery Cost]],"")</f>
        <v>65.989999999999995</v>
      </c>
      <c r="O16">
        <v>11</v>
      </c>
      <c r="P16" s="1">
        <f>IFERROR(BOM[[#This Row],[Estimated Delivery Cost]]+(BOM[[#This Row],[Pack Cost (inc. VAT)]]*ROUNDUP(BOM[[#This Row],[In Stock]]/BOM[[#This Row],[MOQ]],0)),"")</f>
        <v>25.990000000000002</v>
      </c>
      <c r="Q16">
        <f>IFERROR(IF(BOM[[#This Row],[In Stock]]&lt;BOM[[#This Row],[Total Quantity]],ROUNDUP((BOM[[#This Row],[Total Quantity]]-BOM[[#This Row],[In Stock]])/BOM[[#This Row],[MOQ]],0),""),"")</f>
        <v>20</v>
      </c>
      <c r="R16">
        <f>IFERROR(BOM[[#This Row],[Packs to Replenish]]*BOM[[#This Row],[MOQ]],"")</f>
        <v>20</v>
      </c>
      <c r="S16" s="1">
        <f>IFERROR(((BOM[[#This Row],[Packs to Replenish]]*BOM[[#This Row],[Pack Cost (inc. VAT)]])+BOM[[#This Row],[Estimated Delivery Cost]]),"")</f>
        <v>43.99</v>
      </c>
      <c r="U16" t="str">
        <f>IF(BOM[[#This Row],[In Stock]]-BOM[[#This Row],[Total Quantity]]&gt;=1,BOM[[#This Row],[In Stock]]-BOM[[#This Row],[Total Quantity]],"Insufficient Stock")</f>
        <v>Insufficient Stock</v>
      </c>
    </row>
    <row r="17" spans="2:21" x14ac:dyDescent="0.3">
      <c r="B17" t="s">
        <v>77</v>
      </c>
      <c r="C17" t="s">
        <v>16</v>
      </c>
      <c r="D17" t="s">
        <v>9</v>
      </c>
      <c r="E17" t="s">
        <v>42</v>
      </c>
      <c r="F17" s="2">
        <v>102864</v>
      </c>
      <c r="G17" s="25">
        <v>10</v>
      </c>
      <c r="H17" s="1">
        <v>1.7</v>
      </c>
      <c r="I17" s="1">
        <v>3.99</v>
      </c>
      <c r="J17">
        <v>20</v>
      </c>
      <c r="K17" cm="1">
        <f t="array" ref="K17">IF(BOM[[#This Row],[Item Type]]="Materials",ROUNDUP(SUMPRODUCT(IFERROR(VALUE(LEFT(BOM[Supplier Number], FIND("g", BOM[Supplier Number]) - 1)),0) * (BOM[Item Type] = "3D Print")*((BOM[QTY per Assy]*$C$2+(ROUNDUP(BOM[QTY per Assy]*$C$2*0.1,0)))-BOM[In Stock]))/500,0)+1,ROUNDUP(BOM[[#This Row],[QTY per Assy]]*$C$2,0))</f>
        <v>140</v>
      </c>
      <c r="L17">
        <f>IF(BOM[[#This Row],[Item Type]]="Fixings",ROUNDUP(BOM[[#This Row],[Course Quantity]]*0.5,0), ROUNDUP(BOM[[#This Row],[Course Quantity]]*0.1,0))</f>
        <v>14</v>
      </c>
      <c r="M17">
        <f>BOM[[#This Row],[Course Quantity]]+BOM[[#This Row],[Required Spares]]</f>
        <v>154</v>
      </c>
      <c r="N17" s="1">
        <f>IFERROR(IFERROR(IF(BOM[[#This Row],[MOQ]]&gt;=BOM[[#This Row],[Total Quantity]],BOM[[#This Row],[Pack Cost (inc. VAT)]],IF(MOD(BOM[[#This Row],[Total Quantity]],BOM[[#This Row],[MOQ]]) = 0, BOM[[#This Row],[Pack Cost (inc. VAT)]]*BOM[[#This Row],[Total Quantity]],((ROUND(BOM[[#This Row],[Total Quantity]]/BOM[[#This Row],[MOQ]],0)+1)*BOM[[#This Row],[Pack Cost (inc. VAT)]]))),"")+BOM[[#This Row],[Estimated Delivery Cost]],"")</f>
        <v>19.29</v>
      </c>
      <c r="O17">
        <v>50</v>
      </c>
      <c r="P17" s="1">
        <f>IFERROR(BOM[[#This Row],[Estimated Delivery Cost]]+(BOM[[#This Row],[Pack Cost (inc. VAT)]]*ROUNDUP(BOM[[#This Row],[In Stock]]/BOM[[#This Row],[MOQ]],0)),"")</f>
        <v>9.09</v>
      </c>
      <c r="Q17">
        <f>IFERROR(IF(BOM[[#This Row],[In Stock]]&lt;BOM[[#This Row],[Total Quantity]],ROUNDUP((BOM[[#This Row],[Total Quantity]]-BOM[[#This Row],[In Stock]])/BOM[[#This Row],[MOQ]],0),""),"")</f>
        <v>6</v>
      </c>
      <c r="R17">
        <f>IFERROR(BOM[[#This Row],[Packs to Replenish]]*BOM[[#This Row],[MOQ]],"")</f>
        <v>120</v>
      </c>
      <c r="S17" s="1">
        <f>IFERROR(((BOM[[#This Row],[Packs to Replenish]]*BOM[[#This Row],[Pack Cost (inc. VAT)]])+BOM[[#This Row],[Estimated Delivery Cost]]),"")</f>
        <v>14.19</v>
      </c>
      <c r="U17" t="str">
        <f>IF(BOM[[#This Row],[In Stock]]-BOM[[#This Row],[Total Quantity]]&gt;=1,BOM[[#This Row],[In Stock]]-BOM[[#This Row],[Total Quantity]],"Insufficient Stock")</f>
        <v>Insufficient Stock</v>
      </c>
    </row>
    <row r="18" spans="2:21" x14ac:dyDescent="0.3">
      <c r="B18" t="s">
        <v>78</v>
      </c>
      <c r="C18" t="s">
        <v>110</v>
      </c>
      <c r="D18" t="s">
        <v>9</v>
      </c>
      <c r="E18" t="s">
        <v>42</v>
      </c>
      <c r="F18" s="2">
        <v>105570</v>
      </c>
      <c r="G18" s="25">
        <v>1</v>
      </c>
      <c r="H18" s="1">
        <v>2.5</v>
      </c>
      <c r="I18" s="1">
        <v>3.99</v>
      </c>
      <c r="J18">
        <v>1</v>
      </c>
      <c r="K18" cm="1">
        <f t="array" ref="K18">IF(BOM[[#This Row],[Item Type]]="Materials",ROUNDUP(SUMPRODUCT(IFERROR(VALUE(LEFT(BOM[Supplier Number], FIND("g", BOM[Supplier Number]) - 1)),0) * (BOM[Item Type] = "3D Print")*((BOM[QTY per Assy]*$C$2+(ROUNDUP(BOM[QTY per Assy]*$C$2*0.1,0)))-BOM[In Stock]))/500,0)+1,ROUNDUP(BOM[[#This Row],[QTY per Assy]]*$C$2,0))</f>
        <v>14</v>
      </c>
      <c r="L18">
        <f>IF(BOM[[#This Row],[Item Type]]="Fixings",ROUNDUP(BOM[[#This Row],[Course Quantity]]*0.5,0), ROUNDUP(BOM[[#This Row],[Course Quantity]]*0.1,0))</f>
        <v>2</v>
      </c>
      <c r="M18">
        <f>BOM[[#This Row],[Course Quantity]]+BOM[[#This Row],[Required Spares]]</f>
        <v>16</v>
      </c>
      <c r="N18" s="1">
        <f>IFERROR(IFERROR(IF(BOM[[#This Row],[MOQ]]&gt;=BOM[[#This Row],[Total Quantity]],BOM[[#This Row],[Pack Cost (inc. VAT)]],IF(MOD(BOM[[#This Row],[Total Quantity]],BOM[[#This Row],[MOQ]]) = 0, BOM[[#This Row],[Pack Cost (inc. VAT)]]*BOM[[#This Row],[Total Quantity]],((ROUND(BOM[[#This Row],[Total Quantity]]/BOM[[#This Row],[MOQ]],0)+1)*BOM[[#This Row],[Pack Cost (inc. VAT)]]))),"")+BOM[[#This Row],[Estimated Delivery Cost]],"")</f>
        <v>43.99</v>
      </c>
      <c r="O18">
        <v>6</v>
      </c>
      <c r="P18" s="1">
        <f>IFERROR(BOM[[#This Row],[Estimated Delivery Cost]]+(BOM[[#This Row],[Pack Cost (inc. VAT)]]*ROUNDUP(BOM[[#This Row],[In Stock]]/BOM[[#This Row],[MOQ]],0)),"")</f>
        <v>18.990000000000002</v>
      </c>
      <c r="Q18">
        <f>IFERROR(IF(BOM[[#This Row],[In Stock]]&lt;BOM[[#This Row],[Total Quantity]],ROUNDUP((BOM[[#This Row],[Total Quantity]]-BOM[[#This Row],[In Stock]])/BOM[[#This Row],[MOQ]],0),""),"")</f>
        <v>10</v>
      </c>
      <c r="R18">
        <f>IFERROR(BOM[[#This Row],[Packs to Replenish]]*BOM[[#This Row],[MOQ]],"")</f>
        <v>10</v>
      </c>
      <c r="S18" s="1">
        <f>IFERROR(((BOM[[#This Row],[Packs to Replenish]]*BOM[[#This Row],[Pack Cost (inc. VAT)]])+BOM[[#This Row],[Estimated Delivery Cost]]),"")</f>
        <v>28.990000000000002</v>
      </c>
      <c r="U18" t="str">
        <f>IF(BOM[[#This Row],[In Stock]]-BOM[[#This Row],[Total Quantity]]&gt;=1,BOM[[#This Row],[In Stock]]-BOM[[#This Row],[Total Quantity]],"Insufficient Stock")</f>
        <v>Insufficient Stock</v>
      </c>
    </row>
    <row r="19" spans="2:21" x14ac:dyDescent="0.3">
      <c r="B19" t="s">
        <v>93</v>
      </c>
      <c r="C19" t="s">
        <v>36</v>
      </c>
      <c r="D19" t="s">
        <v>9</v>
      </c>
      <c r="E19" t="s">
        <v>42</v>
      </c>
      <c r="F19" s="2">
        <v>103192</v>
      </c>
      <c r="G19" s="25">
        <v>20</v>
      </c>
      <c r="H19" s="1">
        <v>1.7</v>
      </c>
      <c r="I19" s="1">
        <v>3.99</v>
      </c>
      <c r="J19">
        <v>20</v>
      </c>
      <c r="K19" cm="1">
        <f t="array" ref="K19">IF(BOM[[#This Row],[Item Type]]="Materials",ROUNDUP(SUMPRODUCT(IFERROR(VALUE(LEFT(BOM[Supplier Number], FIND("g", BOM[Supplier Number]) - 1)),0) * (BOM[Item Type] = "3D Print")*((BOM[QTY per Assy]*$C$2+(ROUNDUP(BOM[QTY per Assy]*$C$2*0.1,0)))-BOM[In Stock]))/500,0)+1,ROUNDUP(BOM[[#This Row],[QTY per Assy]]*$C$2,0))</f>
        <v>280</v>
      </c>
      <c r="L19">
        <f>IF(BOM[[#This Row],[Item Type]]="Fixings",ROUNDUP(BOM[[#This Row],[Course Quantity]]*0.5,0), ROUNDUP(BOM[[#This Row],[Course Quantity]]*0.1,0))</f>
        <v>28</v>
      </c>
      <c r="M19">
        <f>BOM[[#This Row],[Course Quantity]]+BOM[[#This Row],[Required Spares]]</f>
        <v>308</v>
      </c>
      <c r="N19" s="1">
        <f>IFERROR(IFERROR(IF(BOM[[#This Row],[MOQ]]&gt;=BOM[[#This Row],[Total Quantity]],BOM[[#This Row],[Pack Cost (inc. VAT)]],IF(MOD(BOM[[#This Row],[Total Quantity]],BOM[[#This Row],[MOQ]]) = 0, BOM[[#This Row],[Pack Cost (inc. VAT)]]*BOM[[#This Row],[Total Quantity]],((ROUND(BOM[[#This Row],[Total Quantity]]/BOM[[#This Row],[MOQ]],0)+1)*BOM[[#This Row],[Pack Cost (inc. VAT)]]))),"")+BOM[[#This Row],[Estimated Delivery Cost]],"")</f>
        <v>31.189999999999998</v>
      </c>
      <c r="O19">
        <v>50</v>
      </c>
      <c r="P19" s="1">
        <f>IFERROR(BOM[[#This Row],[Estimated Delivery Cost]]+(BOM[[#This Row],[Pack Cost (inc. VAT)]]*ROUNDUP(BOM[[#This Row],[In Stock]]/BOM[[#This Row],[MOQ]],0)),"")</f>
        <v>9.09</v>
      </c>
      <c r="Q19">
        <f>IFERROR(IF(BOM[[#This Row],[In Stock]]&lt;BOM[[#This Row],[Total Quantity]],ROUNDUP((BOM[[#This Row],[Total Quantity]]-BOM[[#This Row],[In Stock]])/BOM[[#This Row],[MOQ]],0),""),"")</f>
        <v>13</v>
      </c>
      <c r="R19">
        <f>IFERROR(BOM[[#This Row],[Packs to Replenish]]*BOM[[#This Row],[MOQ]],"")</f>
        <v>260</v>
      </c>
      <c r="S19" s="1">
        <f>IFERROR(((BOM[[#This Row],[Packs to Replenish]]*BOM[[#This Row],[Pack Cost (inc. VAT)]])+BOM[[#This Row],[Estimated Delivery Cost]]),"")</f>
        <v>26.089999999999996</v>
      </c>
      <c r="U19" t="str">
        <f>IF(BOM[[#This Row],[In Stock]]-BOM[[#This Row],[Total Quantity]]&gt;=1,BOM[[#This Row],[In Stock]]-BOM[[#This Row],[Total Quantity]],"Insufficient Stock")</f>
        <v>Insufficient Stock</v>
      </c>
    </row>
    <row r="20" spans="2:21" x14ac:dyDescent="0.3">
      <c r="B20" t="s">
        <v>74</v>
      </c>
      <c r="C20" t="s">
        <v>13</v>
      </c>
      <c r="D20" t="s">
        <v>9</v>
      </c>
      <c r="E20" t="s">
        <v>45</v>
      </c>
      <c r="F20" s="2" t="s">
        <v>59</v>
      </c>
      <c r="G20" s="25">
        <v>1</v>
      </c>
      <c r="H20" s="1">
        <v>0.64</v>
      </c>
      <c r="I20" s="1">
        <v>6.95</v>
      </c>
      <c r="J20">
        <v>1</v>
      </c>
      <c r="K20" cm="1">
        <f t="array" ref="K20">IF(BOM[[#This Row],[Item Type]]="Materials",ROUNDUP(SUMPRODUCT(IFERROR(VALUE(LEFT(BOM[Supplier Number], FIND("g", BOM[Supplier Number]) - 1)),0) * (BOM[Item Type] = "3D Print")*((BOM[QTY per Assy]*$C$2+(ROUNDUP(BOM[QTY per Assy]*$C$2*0.1,0)))-BOM[In Stock]))/500,0)+1,ROUNDUP(BOM[[#This Row],[QTY per Assy]]*$C$2,0))</f>
        <v>14</v>
      </c>
      <c r="L20">
        <f>IF(BOM[[#This Row],[Item Type]]="Fixings",ROUNDUP(BOM[[#This Row],[Course Quantity]]*0.5,0), ROUNDUP(BOM[[#This Row],[Course Quantity]]*0.1,0))</f>
        <v>2</v>
      </c>
      <c r="M20">
        <f>BOM[[#This Row],[Course Quantity]]+BOM[[#This Row],[Required Spares]]</f>
        <v>16</v>
      </c>
      <c r="N20" s="1">
        <f>IFERROR(IFERROR(IF(BOM[[#This Row],[MOQ]]&gt;=BOM[[#This Row],[Total Quantity]],BOM[[#This Row],[Pack Cost (inc. VAT)]],IF(MOD(BOM[[#This Row],[Total Quantity]],BOM[[#This Row],[MOQ]]) = 0, BOM[[#This Row],[Pack Cost (inc. VAT)]]*BOM[[#This Row],[Total Quantity]],((ROUND(BOM[[#This Row],[Total Quantity]]/BOM[[#This Row],[MOQ]],0)+1)*BOM[[#This Row],[Pack Cost (inc. VAT)]]))),"")+BOM[[#This Row],[Estimated Delivery Cost]],"")</f>
        <v>17.190000000000001</v>
      </c>
      <c r="O20">
        <v>22</v>
      </c>
      <c r="P20" s="1">
        <f>IFERROR(BOM[[#This Row],[Estimated Delivery Cost]]+(BOM[[#This Row],[Pack Cost (inc. VAT)]]*ROUNDUP(BOM[[#This Row],[In Stock]]/BOM[[#This Row],[MOQ]],0)),"")</f>
        <v>21.03</v>
      </c>
      <c r="Q20" t="str">
        <f>IFERROR(IF(BOM[[#This Row],[In Stock]]&lt;BOM[[#This Row],[Total Quantity]],ROUNDUP((BOM[[#This Row],[Total Quantity]]-BOM[[#This Row],[In Stock]])/BOM[[#This Row],[MOQ]],0),""),"")</f>
        <v/>
      </c>
      <c r="R20" t="str">
        <f>IFERROR(BOM[[#This Row],[Packs to Replenish]]*BOM[[#This Row],[MOQ]],"")</f>
        <v/>
      </c>
      <c r="S20" s="1" t="str">
        <f>IFERROR(((BOM[[#This Row],[Packs to Replenish]]*BOM[[#This Row],[Pack Cost (inc. VAT)]])+BOM[[#This Row],[Estimated Delivery Cost]]),"")</f>
        <v/>
      </c>
      <c r="U20">
        <f>IF(BOM[[#This Row],[In Stock]]-BOM[[#This Row],[Total Quantity]]&gt;=1,BOM[[#This Row],[In Stock]]-BOM[[#This Row],[Total Quantity]],"Insufficient Stock")</f>
        <v>6</v>
      </c>
    </row>
    <row r="21" spans="2:21" x14ac:dyDescent="0.3">
      <c r="B21" t="s">
        <v>75</v>
      </c>
      <c r="C21" t="s">
        <v>14</v>
      </c>
      <c r="D21" t="s">
        <v>9</v>
      </c>
      <c r="E21" t="s">
        <v>45</v>
      </c>
      <c r="F21" s="2" t="s">
        <v>58</v>
      </c>
      <c r="G21" s="25">
        <v>1</v>
      </c>
      <c r="H21" s="1">
        <v>1.25</v>
      </c>
      <c r="I21" s="1">
        <v>6.95</v>
      </c>
      <c r="J21">
        <v>1</v>
      </c>
      <c r="K21" cm="1">
        <f t="array" ref="K21">IF(BOM[[#This Row],[Item Type]]="Materials",ROUNDUP(SUMPRODUCT(IFERROR(VALUE(LEFT(BOM[Supplier Number], FIND("g", BOM[Supplier Number]) - 1)),0) * (BOM[Item Type] = "3D Print")*((BOM[QTY per Assy]*$C$2+(ROUNDUP(BOM[QTY per Assy]*$C$2*0.1,0)))-BOM[In Stock]))/500,0)+1,ROUNDUP(BOM[[#This Row],[QTY per Assy]]*$C$2,0))</f>
        <v>14</v>
      </c>
      <c r="L21">
        <f>IF(BOM[[#This Row],[Item Type]]="Fixings",ROUNDUP(BOM[[#This Row],[Course Quantity]]*0.5,0), ROUNDUP(BOM[[#This Row],[Course Quantity]]*0.1,0))</f>
        <v>2</v>
      </c>
      <c r="M21">
        <f>BOM[[#This Row],[Course Quantity]]+BOM[[#This Row],[Required Spares]]</f>
        <v>16</v>
      </c>
      <c r="N21" s="1">
        <f>IFERROR(IFERROR(IF(BOM[[#This Row],[MOQ]]&gt;=BOM[[#This Row],[Total Quantity]],BOM[[#This Row],[Pack Cost (inc. VAT)]],IF(MOD(BOM[[#This Row],[Total Quantity]],BOM[[#This Row],[MOQ]]) = 0, BOM[[#This Row],[Pack Cost (inc. VAT)]]*BOM[[#This Row],[Total Quantity]],((ROUND(BOM[[#This Row],[Total Quantity]]/BOM[[#This Row],[MOQ]],0)+1)*BOM[[#This Row],[Pack Cost (inc. VAT)]]))),"")+BOM[[#This Row],[Estimated Delivery Cost]],"")</f>
        <v>26.95</v>
      </c>
      <c r="O21">
        <v>9</v>
      </c>
      <c r="P21" s="1">
        <f>IFERROR(BOM[[#This Row],[Estimated Delivery Cost]]+(BOM[[#This Row],[Pack Cost (inc. VAT)]]*ROUNDUP(BOM[[#This Row],[In Stock]]/BOM[[#This Row],[MOQ]],0)),"")</f>
        <v>18.2</v>
      </c>
      <c r="Q21">
        <f>IFERROR(IF(BOM[[#This Row],[In Stock]]&lt;BOM[[#This Row],[Total Quantity]],ROUNDUP((BOM[[#This Row],[Total Quantity]]-BOM[[#This Row],[In Stock]])/BOM[[#This Row],[MOQ]],0),""),"")</f>
        <v>7</v>
      </c>
      <c r="R21">
        <f>IFERROR(BOM[[#This Row],[Packs to Replenish]]*BOM[[#This Row],[MOQ]],"")</f>
        <v>7</v>
      </c>
      <c r="S21" s="1">
        <f>IFERROR(((BOM[[#This Row],[Packs to Replenish]]*BOM[[#This Row],[Pack Cost (inc. VAT)]])+BOM[[#This Row],[Estimated Delivery Cost]]),"")</f>
        <v>15.7</v>
      </c>
      <c r="U21" t="str">
        <f>IF(BOM[[#This Row],[In Stock]]-BOM[[#This Row],[Total Quantity]]&gt;=1,BOM[[#This Row],[In Stock]]-BOM[[#This Row],[Total Quantity]],"Insufficient Stock")</f>
        <v>Insufficient Stock</v>
      </c>
    </row>
    <row r="22" spans="2:21" x14ac:dyDescent="0.3">
      <c r="B22" t="s">
        <v>72</v>
      </c>
      <c r="C22" t="s">
        <v>11</v>
      </c>
      <c r="D22" t="s">
        <v>9</v>
      </c>
      <c r="E22" t="s">
        <v>54</v>
      </c>
      <c r="F22" s="2" t="s">
        <v>57</v>
      </c>
      <c r="G22" s="25">
        <v>4</v>
      </c>
      <c r="H22" s="1">
        <v>20.99</v>
      </c>
      <c r="I22" s="1">
        <v>0</v>
      </c>
      <c r="J22">
        <v>4</v>
      </c>
      <c r="K22" cm="1">
        <f t="array" ref="K22">IF(BOM[[#This Row],[Item Type]]="Materials",ROUNDUP(SUMPRODUCT(IFERROR(VALUE(LEFT(BOM[Supplier Number], FIND("g", BOM[Supplier Number]) - 1)),0) * (BOM[Item Type] = "3D Print")*((BOM[QTY per Assy]*$C$2+(ROUNDUP(BOM[QTY per Assy]*$C$2*0.1,0)))-BOM[In Stock]))/500,0)+1,ROUNDUP(BOM[[#This Row],[QTY per Assy]]*$C$2,0))</f>
        <v>56</v>
      </c>
      <c r="L22">
        <f>IF(BOM[[#This Row],[Item Type]]="Fixings",ROUNDUP(BOM[[#This Row],[Course Quantity]]*0.5,0), ROUNDUP(BOM[[#This Row],[Course Quantity]]*0.1,0))</f>
        <v>6</v>
      </c>
      <c r="M22">
        <f>BOM[[#This Row],[Course Quantity]]+BOM[[#This Row],[Required Spares]]</f>
        <v>62</v>
      </c>
      <c r="N22" s="1">
        <f>IFERROR(IFERROR(IF(BOM[[#This Row],[MOQ]]&gt;=BOM[[#This Row],[Total Quantity]],BOM[[#This Row],[Pack Cost (inc. VAT)]],IF(MOD(BOM[[#This Row],[Total Quantity]],BOM[[#This Row],[MOQ]]) = 0, BOM[[#This Row],[Pack Cost (inc. VAT)]]*BOM[[#This Row],[Total Quantity]],((ROUND(BOM[[#This Row],[Total Quantity]]/BOM[[#This Row],[MOQ]],0)+1)*BOM[[#This Row],[Pack Cost (inc. VAT)]]))),"")+BOM[[#This Row],[Estimated Delivery Cost]],"")</f>
        <v>356.83</v>
      </c>
      <c r="O22">
        <v>24</v>
      </c>
      <c r="P22" s="1">
        <f>IFERROR(BOM[[#This Row],[Estimated Delivery Cost]]+(BOM[[#This Row],[Pack Cost (inc. VAT)]]*ROUNDUP(BOM[[#This Row],[In Stock]]/BOM[[#This Row],[MOQ]],0)),"")</f>
        <v>125.94</v>
      </c>
      <c r="Q22">
        <f>IFERROR(IF(BOM[[#This Row],[In Stock]]&lt;BOM[[#This Row],[Total Quantity]],ROUNDUP((BOM[[#This Row],[Total Quantity]]-BOM[[#This Row],[In Stock]])/BOM[[#This Row],[MOQ]],0),""),"")</f>
        <v>10</v>
      </c>
      <c r="R22">
        <f>IFERROR(BOM[[#This Row],[Packs to Replenish]]*BOM[[#This Row],[MOQ]],"")</f>
        <v>40</v>
      </c>
      <c r="S22" s="1">
        <f>IFERROR(((BOM[[#This Row],[Packs to Replenish]]*BOM[[#This Row],[Pack Cost (inc. VAT)]])+BOM[[#This Row],[Estimated Delivery Cost]]),"")</f>
        <v>209.89999999999998</v>
      </c>
      <c r="U22" t="str">
        <f>IF(BOM[[#This Row],[In Stock]]-BOM[[#This Row],[Total Quantity]]&gt;=1,BOM[[#This Row],[In Stock]]-BOM[[#This Row],[Total Quantity]],"Insufficient Stock")</f>
        <v>Insufficient Stock</v>
      </c>
    </row>
    <row r="23" spans="2:21" x14ac:dyDescent="0.3">
      <c r="B23" t="s">
        <v>79</v>
      </c>
      <c r="C23" t="s">
        <v>17</v>
      </c>
      <c r="D23" t="s">
        <v>18</v>
      </c>
      <c r="E23" t="s">
        <v>45</v>
      </c>
      <c r="F23" s="2" t="s">
        <v>46</v>
      </c>
      <c r="G23" s="25">
        <v>4</v>
      </c>
      <c r="H23" s="1">
        <v>13.72</v>
      </c>
      <c r="I23" s="1">
        <v>6.95</v>
      </c>
      <c r="J23">
        <v>50</v>
      </c>
      <c r="K23" cm="1">
        <f t="array" ref="K23">IF(BOM[[#This Row],[Item Type]]="Materials",ROUNDUP(SUMPRODUCT(IFERROR(VALUE(LEFT(BOM[Supplier Number], FIND("g", BOM[Supplier Number]) - 1)),0) * (BOM[Item Type] = "3D Print")*((BOM[QTY per Assy]*$C$2+(ROUNDUP(BOM[QTY per Assy]*$C$2*0.1,0)))-BOM[In Stock]))/500,0)+1,ROUNDUP(BOM[[#This Row],[QTY per Assy]]*$C$2,0))</f>
        <v>56</v>
      </c>
      <c r="L23">
        <f>IF(BOM[[#This Row],[Item Type]]="Fixings",ROUNDUP(BOM[[#This Row],[Course Quantity]]*0.5,0), ROUNDUP(BOM[[#This Row],[Course Quantity]]*0.1,0))</f>
        <v>28</v>
      </c>
      <c r="M23">
        <f>BOM[[#This Row],[Course Quantity]]+BOM[[#This Row],[Required Spares]]</f>
        <v>84</v>
      </c>
      <c r="N23" s="1">
        <f>IFERROR(IFERROR(IF(BOM[[#This Row],[MOQ]]&gt;=BOM[[#This Row],[Total Quantity]],BOM[[#This Row],[Pack Cost (inc. VAT)]],IF(MOD(BOM[[#This Row],[Total Quantity]],BOM[[#This Row],[MOQ]]) = 0, BOM[[#This Row],[Pack Cost (inc. VAT)]]*BOM[[#This Row],[Total Quantity]],((ROUND(BOM[[#This Row],[Total Quantity]]/BOM[[#This Row],[MOQ]],0)+1)*BOM[[#This Row],[Pack Cost (inc. VAT)]]))),"")+BOM[[#This Row],[Estimated Delivery Cost]],"")</f>
        <v>48.110000000000007</v>
      </c>
      <c r="O23">
        <v>100</v>
      </c>
      <c r="P23" s="1">
        <f>IFERROR(BOM[[#This Row],[Estimated Delivery Cost]]+(BOM[[#This Row],[Pack Cost (inc. VAT)]]*ROUNDUP(BOM[[#This Row],[In Stock]]/BOM[[#This Row],[MOQ]],0)),"")</f>
        <v>34.39</v>
      </c>
      <c r="Q23" t="str">
        <f>IFERROR(IF(BOM[[#This Row],[In Stock]]&lt;BOM[[#This Row],[Total Quantity]],ROUNDUP((BOM[[#This Row],[Total Quantity]]-BOM[[#This Row],[In Stock]])/BOM[[#This Row],[MOQ]],0),""),"")</f>
        <v/>
      </c>
      <c r="R23" t="str">
        <f>IFERROR(BOM[[#This Row],[Packs to Replenish]]*BOM[[#This Row],[MOQ]],"")</f>
        <v/>
      </c>
      <c r="S23" s="1" t="str">
        <f>IFERROR(((BOM[[#This Row],[Packs to Replenish]]*BOM[[#This Row],[Pack Cost (inc. VAT)]])+BOM[[#This Row],[Estimated Delivery Cost]]),"")</f>
        <v/>
      </c>
      <c r="U23">
        <f>IF(BOM[[#This Row],[In Stock]]-BOM[[#This Row],[Total Quantity]]&gt;=1,BOM[[#This Row],[In Stock]]-BOM[[#This Row],[Total Quantity]],"Insufficient Stock")</f>
        <v>16</v>
      </c>
    </row>
    <row r="24" spans="2:21" x14ac:dyDescent="0.3">
      <c r="B24" t="s">
        <v>80</v>
      </c>
      <c r="C24" t="s">
        <v>19</v>
      </c>
      <c r="D24" t="s">
        <v>18</v>
      </c>
      <c r="E24" t="s">
        <v>45</v>
      </c>
      <c r="F24" s="2" t="s">
        <v>47</v>
      </c>
      <c r="G24" s="25">
        <v>35</v>
      </c>
      <c r="H24" s="1">
        <v>1.73</v>
      </c>
      <c r="I24" s="1">
        <v>6.95</v>
      </c>
      <c r="J24">
        <v>250</v>
      </c>
      <c r="K24" cm="1">
        <f t="array" ref="K24">IF(BOM[[#This Row],[Item Type]]="Materials",ROUNDUP(SUMPRODUCT(IFERROR(VALUE(LEFT(BOM[Supplier Number], FIND("g", BOM[Supplier Number]) - 1)),0) * (BOM[Item Type] = "3D Print")*((BOM[QTY per Assy]*$C$2+(ROUNDUP(BOM[QTY per Assy]*$C$2*0.1,0)))-BOM[In Stock]))/500,0)+1,ROUNDUP(BOM[[#This Row],[QTY per Assy]]*$C$2,0))</f>
        <v>490</v>
      </c>
      <c r="L24">
        <f>IF(BOM[[#This Row],[Item Type]]="Fixings",ROUNDUP(BOM[[#This Row],[Course Quantity]]*0.5,0), ROUNDUP(BOM[[#This Row],[Course Quantity]]*0.1,0))</f>
        <v>245</v>
      </c>
      <c r="M24">
        <f>BOM[[#This Row],[Course Quantity]]+BOM[[#This Row],[Required Spares]]</f>
        <v>735</v>
      </c>
      <c r="N24" s="1">
        <f>IFERROR(IFERROR(IF(BOM[[#This Row],[MOQ]]&gt;=BOM[[#This Row],[Total Quantity]],BOM[[#This Row],[Pack Cost (inc. VAT)]],IF(MOD(BOM[[#This Row],[Total Quantity]],BOM[[#This Row],[MOQ]]) = 0, BOM[[#This Row],[Pack Cost (inc. VAT)]]*BOM[[#This Row],[Total Quantity]],((ROUND(BOM[[#This Row],[Total Quantity]]/BOM[[#This Row],[MOQ]],0)+1)*BOM[[#This Row],[Pack Cost (inc. VAT)]]))),"")+BOM[[#This Row],[Estimated Delivery Cost]],"")</f>
        <v>13.870000000000001</v>
      </c>
      <c r="O24">
        <v>300</v>
      </c>
      <c r="P24" s="1">
        <f>IFERROR(BOM[[#This Row],[Estimated Delivery Cost]]+(BOM[[#This Row],[Pack Cost (inc. VAT)]]*ROUNDUP(BOM[[#This Row],[In Stock]]/BOM[[#This Row],[MOQ]],0)),"")</f>
        <v>10.41</v>
      </c>
      <c r="Q24">
        <f>IFERROR(IF(BOM[[#This Row],[In Stock]]&lt;BOM[[#This Row],[Total Quantity]],ROUNDUP((BOM[[#This Row],[Total Quantity]]-BOM[[#This Row],[In Stock]])/BOM[[#This Row],[MOQ]],0),""),"")</f>
        <v>2</v>
      </c>
      <c r="R24">
        <f>IFERROR(BOM[[#This Row],[Packs to Replenish]]*BOM[[#This Row],[MOQ]],"")</f>
        <v>500</v>
      </c>
      <c r="S24" s="1">
        <f>IFERROR(((BOM[[#This Row],[Packs to Replenish]]*BOM[[#This Row],[Pack Cost (inc. VAT)]])+BOM[[#This Row],[Estimated Delivery Cost]]),"")</f>
        <v>10.41</v>
      </c>
      <c r="U24" t="str">
        <f>IF(BOM[[#This Row],[In Stock]]-BOM[[#This Row],[Total Quantity]]&gt;=1,BOM[[#This Row],[In Stock]]-BOM[[#This Row],[Total Quantity]],"Insufficient Stock")</f>
        <v>Insufficient Stock</v>
      </c>
    </row>
    <row r="25" spans="2:21" x14ac:dyDescent="0.3">
      <c r="B25" t="s">
        <v>81</v>
      </c>
      <c r="C25" t="s">
        <v>20</v>
      </c>
      <c r="D25" t="s">
        <v>18</v>
      </c>
      <c r="E25" t="s">
        <v>45</v>
      </c>
      <c r="F25" s="2" t="s">
        <v>48</v>
      </c>
      <c r="G25" s="25">
        <v>23</v>
      </c>
      <c r="H25" s="1">
        <v>5.57</v>
      </c>
      <c r="I25" s="1">
        <v>6.95</v>
      </c>
      <c r="J25">
        <v>100</v>
      </c>
      <c r="K25" cm="1">
        <f t="array" ref="K25">IF(BOM[[#This Row],[Item Type]]="Materials",ROUNDUP(SUMPRODUCT(IFERROR(VALUE(LEFT(BOM[Supplier Number], FIND("g", BOM[Supplier Number]) - 1)),0) * (BOM[Item Type] = "3D Print")*((BOM[QTY per Assy]*$C$2+(ROUNDUP(BOM[QTY per Assy]*$C$2*0.1,0)))-BOM[In Stock]))/500,0)+1,ROUNDUP(BOM[[#This Row],[QTY per Assy]]*$C$2,0))</f>
        <v>322</v>
      </c>
      <c r="L25">
        <f>IF(BOM[[#This Row],[Item Type]]="Fixings",ROUNDUP(BOM[[#This Row],[Course Quantity]]*0.5,0), ROUNDUP(BOM[[#This Row],[Course Quantity]]*0.1,0))</f>
        <v>161</v>
      </c>
      <c r="M25">
        <f>BOM[[#This Row],[Course Quantity]]+BOM[[#This Row],[Required Spares]]</f>
        <v>483</v>
      </c>
      <c r="N25" s="1">
        <f>IFERROR(IFERROR(IF(BOM[[#This Row],[MOQ]]&gt;=BOM[[#This Row],[Total Quantity]],BOM[[#This Row],[Pack Cost (inc. VAT)]],IF(MOD(BOM[[#This Row],[Total Quantity]],BOM[[#This Row],[MOQ]]) = 0, BOM[[#This Row],[Pack Cost (inc. VAT)]]*BOM[[#This Row],[Total Quantity]],((ROUND(BOM[[#This Row],[Total Quantity]]/BOM[[#This Row],[MOQ]],0)+1)*BOM[[#This Row],[Pack Cost (inc. VAT)]]))),"")+BOM[[#This Row],[Estimated Delivery Cost]],"")</f>
        <v>40.370000000000005</v>
      </c>
      <c r="O25">
        <v>300</v>
      </c>
      <c r="P25" s="1">
        <f>IFERROR(BOM[[#This Row],[Estimated Delivery Cost]]+(BOM[[#This Row],[Pack Cost (inc. VAT)]]*ROUNDUP(BOM[[#This Row],[In Stock]]/BOM[[#This Row],[MOQ]],0)),"")</f>
        <v>23.66</v>
      </c>
      <c r="Q25">
        <f>IFERROR(IF(BOM[[#This Row],[In Stock]]&lt;BOM[[#This Row],[Total Quantity]],ROUNDUP((BOM[[#This Row],[Total Quantity]]-BOM[[#This Row],[In Stock]])/BOM[[#This Row],[MOQ]],0),""),"")</f>
        <v>2</v>
      </c>
      <c r="R25">
        <f>IFERROR(BOM[[#This Row],[Packs to Replenish]]*BOM[[#This Row],[MOQ]],"")</f>
        <v>200</v>
      </c>
      <c r="S25" s="1">
        <f>IFERROR(((BOM[[#This Row],[Packs to Replenish]]*BOM[[#This Row],[Pack Cost (inc. VAT)]])+BOM[[#This Row],[Estimated Delivery Cost]]),"")</f>
        <v>18.09</v>
      </c>
      <c r="U25" t="str">
        <f>IF(BOM[[#This Row],[In Stock]]-BOM[[#This Row],[Total Quantity]]&gt;=1,BOM[[#This Row],[In Stock]]-BOM[[#This Row],[Total Quantity]],"Insufficient Stock")</f>
        <v>Insufficient Stock</v>
      </c>
    </row>
    <row r="26" spans="2:21" x14ac:dyDescent="0.3">
      <c r="B26" t="s">
        <v>82</v>
      </c>
      <c r="C26" t="s">
        <v>21</v>
      </c>
      <c r="D26" t="s">
        <v>18</v>
      </c>
      <c r="E26" t="s">
        <v>45</v>
      </c>
      <c r="F26" s="2" t="s">
        <v>49</v>
      </c>
      <c r="G26" s="25">
        <v>4</v>
      </c>
      <c r="H26" s="1">
        <v>19.75</v>
      </c>
      <c r="I26" s="1">
        <v>6.95</v>
      </c>
      <c r="J26">
        <v>50</v>
      </c>
      <c r="K26" cm="1">
        <f t="array" ref="K26">IF(BOM[[#This Row],[Item Type]]="Materials",ROUNDUP(SUMPRODUCT(IFERROR(VALUE(LEFT(BOM[Supplier Number], FIND("g", BOM[Supplier Number]) - 1)),0) * (BOM[Item Type] = "3D Print")*((BOM[QTY per Assy]*$C$2+(ROUNDUP(BOM[QTY per Assy]*$C$2*0.1,0)))-BOM[In Stock]))/500,0)+1,ROUNDUP(BOM[[#This Row],[QTY per Assy]]*$C$2,0))</f>
        <v>56</v>
      </c>
      <c r="L26">
        <f>IF(BOM[[#This Row],[Item Type]]="Fixings",ROUNDUP(BOM[[#This Row],[Course Quantity]]*0.5,0), ROUNDUP(BOM[[#This Row],[Course Quantity]]*0.1,0))</f>
        <v>28</v>
      </c>
      <c r="M26">
        <f>BOM[[#This Row],[Course Quantity]]+BOM[[#This Row],[Required Spares]]</f>
        <v>84</v>
      </c>
      <c r="N26" s="1">
        <f>IFERROR(IFERROR(IF(BOM[[#This Row],[MOQ]]&gt;=BOM[[#This Row],[Total Quantity]],BOM[[#This Row],[Pack Cost (inc. VAT)]],IF(MOD(BOM[[#This Row],[Total Quantity]],BOM[[#This Row],[MOQ]]) = 0, BOM[[#This Row],[Pack Cost (inc. VAT)]]*BOM[[#This Row],[Total Quantity]],((ROUND(BOM[[#This Row],[Total Quantity]]/BOM[[#This Row],[MOQ]],0)+1)*BOM[[#This Row],[Pack Cost (inc. VAT)]]))),"")+BOM[[#This Row],[Estimated Delivery Cost]],"")</f>
        <v>66.2</v>
      </c>
      <c r="O26">
        <v>42</v>
      </c>
      <c r="P26" s="1">
        <f>IFERROR(BOM[[#This Row],[Estimated Delivery Cost]]+(BOM[[#This Row],[Pack Cost (inc. VAT)]]*ROUNDUP(BOM[[#This Row],[In Stock]]/BOM[[#This Row],[MOQ]],0)),"")</f>
        <v>26.7</v>
      </c>
      <c r="Q26">
        <f>IFERROR(IF(BOM[[#This Row],[In Stock]]&lt;BOM[[#This Row],[Total Quantity]],ROUNDUP((BOM[[#This Row],[Total Quantity]]-BOM[[#This Row],[In Stock]])/BOM[[#This Row],[MOQ]],0),""),"")</f>
        <v>1</v>
      </c>
      <c r="R26">
        <f>IFERROR(BOM[[#This Row],[Packs to Replenish]]*BOM[[#This Row],[MOQ]],"")</f>
        <v>50</v>
      </c>
      <c r="S26" s="1">
        <f>IFERROR(((BOM[[#This Row],[Packs to Replenish]]*BOM[[#This Row],[Pack Cost (inc. VAT)]])+BOM[[#This Row],[Estimated Delivery Cost]]),"")</f>
        <v>26.7</v>
      </c>
      <c r="U26" t="str">
        <f>IF(BOM[[#This Row],[In Stock]]-BOM[[#This Row],[Total Quantity]]&gt;=1,BOM[[#This Row],[In Stock]]-BOM[[#This Row],[Total Quantity]],"Insufficient Stock")</f>
        <v>Insufficient Stock</v>
      </c>
    </row>
    <row r="27" spans="2:21" x14ac:dyDescent="0.3">
      <c r="B27" t="s">
        <v>83</v>
      </c>
      <c r="C27" t="s">
        <v>22</v>
      </c>
      <c r="D27" t="s">
        <v>18</v>
      </c>
      <c r="E27" t="s">
        <v>45</v>
      </c>
      <c r="F27" s="2" t="s">
        <v>50</v>
      </c>
      <c r="G27" s="25">
        <v>4</v>
      </c>
      <c r="H27" s="1">
        <v>24.26</v>
      </c>
      <c r="I27" s="1">
        <v>6.95</v>
      </c>
      <c r="J27">
        <v>50</v>
      </c>
      <c r="K27" cm="1">
        <f t="array" ref="K27">IF(BOM[[#This Row],[Item Type]]="Materials",ROUNDUP(SUMPRODUCT(IFERROR(VALUE(LEFT(BOM[Supplier Number], FIND("g", BOM[Supplier Number]) - 1)),0) * (BOM[Item Type] = "3D Print")*((BOM[QTY per Assy]*$C$2+(ROUNDUP(BOM[QTY per Assy]*$C$2*0.1,0)))-BOM[In Stock]))/500,0)+1,ROUNDUP(BOM[[#This Row],[QTY per Assy]]*$C$2,0))</f>
        <v>56</v>
      </c>
      <c r="L27">
        <f>IF(BOM[[#This Row],[Item Type]]="Fixings",ROUNDUP(BOM[[#This Row],[Course Quantity]]*0.5,0), ROUNDUP(BOM[[#This Row],[Course Quantity]]*0.1,0))</f>
        <v>28</v>
      </c>
      <c r="M27">
        <f>BOM[[#This Row],[Course Quantity]]+BOM[[#This Row],[Required Spares]]</f>
        <v>84</v>
      </c>
      <c r="N27" s="1">
        <f>IFERROR(IFERROR(IF(BOM[[#This Row],[MOQ]]&gt;=BOM[[#This Row],[Total Quantity]],BOM[[#This Row],[Pack Cost (inc. VAT)]],IF(MOD(BOM[[#This Row],[Total Quantity]],BOM[[#This Row],[MOQ]]) = 0, BOM[[#This Row],[Pack Cost (inc. VAT)]]*BOM[[#This Row],[Total Quantity]],((ROUND(BOM[[#This Row],[Total Quantity]]/BOM[[#This Row],[MOQ]],0)+1)*BOM[[#This Row],[Pack Cost (inc. VAT)]]))),"")+BOM[[#This Row],[Estimated Delivery Cost]],"")</f>
        <v>79.73</v>
      </c>
      <c r="O27">
        <v>36</v>
      </c>
      <c r="P27" s="1">
        <f>IFERROR(BOM[[#This Row],[Estimated Delivery Cost]]+(BOM[[#This Row],[Pack Cost (inc. VAT)]]*ROUNDUP(BOM[[#This Row],[In Stock]]/BOM[[#This Row],[MOQ]],0)),"")</f>
        <v>31.21</v>
      </c>
      <c r="Q27">
        <f>IFERROR(IF(BOM[[#This Row],[In Stock]]&lt;BOM[[#This Row],[Total Quantity]],ROUNDUP((BOM[[#This Row],[Total Quantity]]-BOM[[#This Row],[In Stock]])/BOM[[#This Row],[MOQ]],0),""),"")</f>
        <v>1</v>
      </c>
      <c r="R27">
        <f>IFERROR(BOM[[#This Row],[Packs to Replenish]]*BOM[[#This Row],[MOQ]],"")</f>
        <v>50</v>
      </c>
      <c r="S27" s="1">
        <f>IFERROR(((BOM[[#This Row],[Packs to Replenish]]*BOM[[#This Row],[Pack Cost (inc. VAT)]])+BOM[[#This Row],[Estimated Delivery Cost]]),"")</f>
        <v>31.21</v>
      </c>
      <c r="U27" t="str">
        <f>IF(BOM[[#This Row],[In Stock]]-BOM[[#This Row],[Total Quantity]]&gt;=1,BOM[[#This Row],[In Stock]]-BOM[[#This Row],[Total Quantity]],"Insufficient Stock")</f>
        <v>Insufficient Stock</v>
      </c>
    </row>
    <row r="28" spans="2:21" x14ac:dyDescent="0.3">
      <c r="B28" t="s">
        <v>84</v>
      </c>
      <c r="C28" t="s">
        <v>23</v>
      </c>
      <c r="D28" t="s">
        <v>18</v>
      </c>
      <c r="E28" t="s">
        <v>45</v>
      </c>
      <c r="F28" s="2" t="s">
        <v>51</v>
      </c>
      <c r="G28" s="25">
        <v>4</v>
      </c>
      <c r="H28" s="1">
        <v>17.239999999999998</v>
      </c>
      <c r="I28" s="1">
        <v>6.95</v>
      </c>
      <c r="J28">
        <v>50</v>
      </c>
      <c r="K28" cm="1">
        <f t="array" ref="K28">IF(BOM[[#This Row],[Item Type]]="Materials",ROUNDUP(SUMPRODUCT(IFERROR(VALUE(LEFT(BOM[Supplier Number], FIND("g", BOM[Supplier Number]) - 1)),0) * (BOM[Item Type] = "3D Print")*((BOM[QTY per Assy]*$C$2+(ROUNDUP(BOM[QTY per Assy]*$C$2*0.1,0)))-BOM[In Stock]))/500,0)+1,ROUNDUP(BOM[[#This Row],[QTY per Assy]]*$C$2,0))</f>
        <v>56</v>
      </c>
      <c r="L28">
        <f>IF(BOM[[#This Row],[Item Type]]="Fixings",ROUNDUP(BOM[[#This Row],[Course Quantity]]*0.5,0), ROUNDUP(BOM[[#This Row],[Course Quantity]]*0.1,0))</f>
        <v>28</v>
      </c>
      <c r="M28">
        <f>BOM[[#This Row],[Course Quantity]]+BOM[[#This Row],[Required Spares]]</f>
        <v>84</v>
      </c>
      <c r="N28" s="1">
        <f>IFERROR(IFERROR(IF(BOM[[#This Row],[MOQ]]&gt;=BOM[[#This Row],[Total Quantity]],BOM[[#This Row],[Pack Cost (inc. VAT)]],IF(MOD(BOM[[#This Row],[Total Quantity]],BOM[[#This Row],[MOQ]]) = 0, BOM[[#This Row],[Pack Cost (inc. VAT)]]*BOM[[#This Row],[Total Quantity]],((ROUND(BOM[[#This Row],[Total Quantity]]/BOM[[#This Row],[MOQ]],0)+1)*BOM[[#This Row],[Pack Cost (inc. VAT)]]))),"")+BOM[[#This Row],[Estimated Delivery Cost]],"")</f>
        <v>58.67</v>
      </c>
      <c r="O28">
        <v>72</v>
      </c>
      <c r="P28" s="1">
        <f>IFERROR(BOM[[#This Row],[Estimated Delivery Cost]]+(BOM[[#This Row],[Pack Cost (inc. VAT)]]*ROUNDUP(BOM[[#This Row],[In Stock]]/BOM[[#This Row],[MOQ]],0)),"")</f>
        <v>41.43</v>
      </c>
      <c r="Q28">
        <f>IFERROR(IF(BOM[[#This Row],[In Stock]]&lt;BOM[[#This Row],[Total Quantity]],ROUNDUP((BOM[[#This Row],[Total Quantity]]-BOM[[#This Row],[In Stock]])/BOM[[#This Row],[MOQ]],0),""),"")</f>
        <v>1</v>
      </c>
      <c r="R28">
        <f>IFERROR(BOM[[#This Row],[Packs to Replenish]]*BOM[[#This Row],[MOQ]],"")</f>
        <v>50</v>
      </c>
      <c r="S28" s="1">
        <f>IFERROR(((BOM[[#This Row],[Packs to Replenish]]*BOM[[#This Row],[Pack Cost (inc. VAT)]])+BOM[[#This Row],[Estimated Delivery Cost]]),"")</f>
        <v>24.189999999999998</v>
      </c>
      <c r="U28" t="str">
        <f>IF(BOM[[#This Row],[In Stock]]-BOM[[#This Row],[Total Quantity]]&gt;=1,BOM[[#This Row],[In Stock]]-BOM[[#This Row],[Total Quantity]],"Insufficient Stock")</f>
        <v>Insufficient Stock</v>
      </c>
    </row>
    <row r="29" spans="2:21" x14ac:dyDescent="0.3">
      <c r="B29" t="s">
        <v>85</v>
      </c>
      <c r="C29" t="s">
        <v>24</v>
      </c>
      <c r="D29" t="s">
        <v>18</v>
      </c>
      <c r="E29" t="s">
        <v>45</v>
      </c>
      <c r="F29" s="2" t="s">
        <v>52</v>
      </c>
      <c r="G29" s="25">
        <v>3</v>
      </c>
      <c r="H29" s="1">
        <v>20.8</v>
      </c>
      <c r="I29" s="1">
        <v>6.95</v>
      </c>
      <c r="J29">
        <v>50</v>
      </c>
      <c r="K29" cm="1">
        <f t="array" ref="K29">IF(BOM[[#This Row],[Item Type]]="Materials",ROUNDUP(SUMPRODUCT(IFERROR(VALUE(LEFT(BOM[Supplier Number], FIND("g", BOM[Supplier Number]) - 1)),0) * (BOM[Item Type] = "3D Print")*((BOM[QTY per Assy]*$C$2+(ROUNDUP(BOM[QTY per Assy]*$C$2*0.1,0)))-BOM[In Stock]))/500,0)+1,ROUNDUP(BOM[[#This Row],[QTY per Assy]]*$C$2,0))</f>
        <v>42</v>
      </c>
      <c r="L29">
        <f>IF(BOM[[#This Row],[Item Type]]="Fixings",ROUNDUP(BOM[[#This Row],[Course Quantity]]*0.5,0), ROUNDUP(BOM[[#This Row],[Course Quantity]]*0.1,0))</f>
        <v>21</v>
      </c>
      <c r="M29">
        <f>BOM[[#This Row],[Course Quantity]]+BOM[[#This Row],[Required Spares]]</f>
        <v>63</v>
      </c>
      <c r="N29" s="1">
        <f>IFERROR(IFERROR(IF(BOM[[#This Row],[MOQ]]&gt;=BOM[[#This Row],[Total Quantity]],BOM[[#This Row],[Pack Cost (inc. VAT)]],IF(MOD(BOM[[#This Row],[Total Quantity]],BOM[[#This Row],[MOQ]]) = 0, BOM[[#This Row],[Pack Cost (inc. VAT)]]*BOM[[#This Row],[Total Quantity]],((ROUND(BOM[[#This Row],[Total Quantity]]/BOM[[#This Row],[MOQ]],0)+1)*BOM[[#This Row],[Pack Cost (inc. VAT)]]))),"")+BOM[[#This Row],[Estimated Delivery Cost]],"")</f>
        <v>48.550000000000004</v>
      </c>
      <c r="O29">
        <v>66</v>
      </c>
      <c r="P29" s="1">
        <f>IFERROR(BOM[[#This Row],[Estimated Delivery Cost]]+(BOM[[#This Row],[Pack Cost (inc. VAT)]]*ROUNDUP(BOM[[#This Row],[In Stock]]/BOM[[#This Row],[MOQ]],0)),"")</f>
        <v>48.550000000000004</v>
      </c>
      <c r="Q29" t="str">
        <f>IFERROR(IF(BOM[[#This Row],[In Stock]]&lt;BOM[[#This Row],[Total Quantity]],ROUNDUP((BOM[[#This Row],[Total Quantity]]-BOM[[#This Row],[In Stock]])/BOM[[#This Row],[MOQ]],0),""),"")</f>
        <v/>
      </c>
      <c r="R29" t="str">
        <f>IFERROR(BOM[[#This Row],[Packs to Replenish]]*BOM[[#This Row],[MOQ]],"")</f>
        <v/>
      </c>
      <c r="S29" s="1" t="str">
        <f>IFERROR(((BOM[[#This Row],[Packs to Replenish]]*BOM[[#This Row],[Pack Cost (inc. VAT)]])+BOM[[#This Row],[Estimated Delivery Cost]]),"")</f>
        <v/>
      </c>
      <c r="U29">
        <f>IF(BOM[[#This Row],[In Stock]]-BOM[[#This Row],[Total Quantity]]&gt;=1,BOM[[#This Row],[In Stock]]-BOM[[#This Row],[Total Quantity]],"Insufficient Stock")</f>
        <v>3</v>
      </c>
    </row>
    <row r="30" spans="2:21" x14ac:dyDescent="0.3">
      <c r="B30" t="s">
        <v>131</v>
      </c>
      <c r="C30" t="s">
        <v>132</v>
      </c>
      <c r="D30" t="s">
        <v>18</v>
      </c>
      <c r="E30" t="s">
        <v>134</v>
      </c>
      <c r="F30" s="2" t="s">
        <v>133</v>
      </c>
      <c r="G30" s="25">
        <v>4</v>
      </c>
      <c r="H30" s="1">
        <v>10.8</v>
      </c>
      <c r="I30" s="1">
        <v>5.25</v>
      </c>
      <c r="J30">
        <v>100</v>
      </c>
      <c r="K30" cm="1">
        <f t="array" ref="K30">IF(BOM[[#This Row],[Item Type]]="Materials",ROUNDUP(SUMPRODUCT(IFERROR(VALUE(LEFT(BOM[Supplier Number], FIND("g", BOM[Supplier Number]) - 1)),0) * (BOM[Item Type] = "3D Print")*((BOM[QTY per Assy]*$C$2+(ROUNDUP(BOM[QTY per Assy]*$C$2*0.1,0)))-BOM[In Stock]))/500,0)+1,ROUNDUP(BOM[[#This Row],[QTY per Assy]]*$C$2,0))</f>
        <v>56</v>
      </c>
      <c r="L30">
        <f>IF(BOM[[#This Row],[Item Type]]="Fixings",ROUNDUP(BOM[[#This Row],[Course Quantity]]*0.5,0), ROUNDUP(BOM[[#This Row],[Course Quantity]]*0.1,0))</f>
        <v>28</v>
      </c>
      <c r="M30">
        <f>BOM[[#This Row],[Course Quantity]]+BOM[[#This Row],[Required Spares]]</f>
        <v>84</v>
      </c>
      <c r="N30" s="1">
        <f>IFERROR(IFERROR(IF(BOM[[#This Row],[MOQ]]&gt;=BOM[[#This Row],[Total Quantity]],BOM[[#This Row],[Pack Cost (inc. VAT)]],IF(MOD(BOM[[#This Row],[Total Quantity]],BOM[[#This Row],[MOQ]]) = 0, BOM[[#This Row],[Pack Cost (inc. VAT)]]*BOM[[#This Row],[Total Quantity]],((ROUND(BOM[[#This Row],[Total Quantity]]/BOM[[#This Row],[MOQ]],0)+1)*BOM[[#This Row],[Pack Cost (inc. VAT)]]))),"")+BOM[[#This Row],[Estimated Delivery Cost]],"")</f>
        <v>16.05</v>
      </c>
      <c r="O30">
        <v>10</v>
      </c>
      <c r="P30" s="1">
        <f>IFERROR(BOM[[#This Row],[Estimated Delivery Cost]]+(BOM[[#This Row],[Pack Cost (inc. VAT)]]*ROUNDUP(BOM[[#This Row],[In Stock]]/BOM[[#This Row],[MOQ]],0)),"")</f>
        <v>16.05</v>
      </c>
      <c r="Q30">
        <f>IFERROR(IF(BOM[[#This Row],[In Stock]]&lt;BOM[[#This Row],[Total Quantity]],ROUNDUP((BOM[[#This Row],[Total Quantity]]-BOM[[#This Row],[In Stock]])/BOM[[#This Row],[MOQ]],0),""),"")</f>
        <v>1</v>
      </c>
      <c r="R30">
        <f>IFERROR(BOM[[#This Row],[Packs to Replenish]]*BOM[[#This Row],[MOQ]],"")</f>
        <v>100</v>
      </c>
      <c r="S30" s="1">
        <f>IFERROR(((BOM[[#This Row],[Packs to Replenish]]*BOM[[#This Row],[Pack Cost (inc. VAT)]])+BOM[[#This Row],[Estimated Delivery Cost]]),"")</f>
        <v>16.05</v>
      </c>
      <c r="U30" t="str">
        <f>IF(BOM[[#This Row],[In Stock]]-BOM[[#This Row],[Total Quantity]]&gt;=1,BOM[[#This Row],[In Stock]]-BOM[[#This Row],[Total Quantity]],"Insufficient Stock")</f>
        <v>Insufficient Stock</v>
      </c>
    </row>
    <row r="31" spans="2:21" x14ac:dyDescent="0.3">
      <c r="B31" t="s">
        <v>86</v>
      </c>
      <c r="C31" t="s">
        <v>25</v>
      </c>
      <c r="D31" t="s">
        <v>18</v>
      </c>
      <c r="E31" t="s">
        <v>45</v>
      </c>
      <c r="F31" s="2" t="s">
        <v>53</v>
      </c>
      <c r="G31" s="25">
        <v>4</v>
      </c>
      <c r="H31" s="1">
        <v>17.52</v>
      </c>
      <c r="I31" s="1">
        <v>6.95</v>
      </c>
      <c r="J31">
        <v>50</v>
      </c>
      <c r="K31" cm="1">
        <f t="array" ref="K31">IF(BOM[[#This Row],[Item Type]]="Materials",ROUNDUP(SUMPRODUCT(IFERROR(VALUE(LEFT(BOM[Supplier Number], FIND("g", BOM[Supplier Number]) - 1)),0) * (BOM[Item Type] = "3D Print")*((BOM[QTY per Assy]*$C$2+(ROUNDUP(BOM[QTY per Assy]*$C$2*0.1,0)))-BOM[In Stock]))/500,0)+1,ROUNDUP(BOM[[#This Row],[QTY per Assy]]*$C$2,0))</f>
        <v>56</v>
      </c>
      <c r="L31">
        <f>IF(BOM[[#This Row],[Item Type]]="Fixings",ROUNDUP(BOM[[#This Row],[Course Quantity]]*0.5,0), ROUNDUP(BOM[[#This Row],[Course Quantity]]*0.1,0))</f>
        <v>28</v>
      </c>
      <c r="M31">
        <f>BOM[[#This Row],[Course Quantity]]+BOM[[#This Row],[Required Spares]]</f>
        <v>84</v>
      </c>
      <c r="N31" s="1">
        <f>IFERROR(IFERROR(IF(BOM[[#This Row],[MOQ]]&gt;=BOM[[#This Row],[Total Quantity]],BOM[[#This Row],[Pack Cost (inc. VAT)]],IF(MOD(BOM[[#This Row],[Total Quantity]],BOM[[#This Row],[MOQ]]) = 0, BOM[[#This Row],[Pack Cost (inc. VAT)]]*BOM[[#This Row],[Total Quantity]],((ROUND(BOM[[#This Row],[Total Quantity]]/BOM[[#This Row],[MOQ]],0)+1)*BOM[[#This Row],[Pack Cost (inc. VAT)]]))),"")+BOM[[#This Row],[Estimated Delivery Cost]],"")</f>
        <v>59.510000000000005</v>
      </c>
      <c r="O31">
        <v>66</v>
      </c>
      <c r="P31" s="1">
        <f>IFERROR(BOM[[#This Row],[Estimated Delivery Cost]]+(BOM[[#This Row],[Pack Cost (inc. VAT)]]*ROUNDUP(BOM[[#This Row],[In Stock]]/BOM[[#This Row],[MOQ]],0)),"")</f>
        <v>41.99</v>
      </c>
      <c r="Q31">
        <f>IFERROR(IF(BOM[[#This Row],[In Stock]]&lt;BOM[[#This Row],[Total Quantity]],ROUNDUP((BOM[[#This Row],[Total Quantity]]-BOM[[#This Row],[In Stock]])/BOM[[#This Row],[MOQ]],0),""),"")</f>
        <v>1</v>
      </c>
      <c r="R31">
        <f>IFERROR(BOM[[#This Row],[Packs to Replenish]]*BOM[[#This Row],[MOQ]],"")</f>
        <v>50</v>
      </c>
      <c r="S31" s="1">
        <f>IFERROR(((BOM[[#This Row],[Packs to Replenish]]*BOM[[#This Row],[Pack Cost (inc. VAT)]])+BOM[[#This Row],[Estimated Delivery Cost]]),"")</f>
        <v>24.47</v>
      </c>
      <c r="U31" t="str">
        <f>IF(BOM[[#This Row],[In Stock]]-BOM[[#This Row],[Total Quantity]]&gt;=1,BOM[[#This Row],[In Stock]]-BOM[[#This Row],[Total Quantity]],"Insufficient Stock")</f>
        <v>Insufficient Stock</v>
      </c>
    </row>
    <row r="32" spans="2:21" x14ac:dyDescent="0.3">
      <c r="B32" t="s">
        <v>88</v>
      </c>
      <c r="C32" t="s">
        <v>28</v>
      </c>
      <c r="D32" t="s">
        <v>27</v>
      </c>
      <c r="E32" t="s">
        <v>42</v>
      </c>
      <c r="F32" s="2">
        <v>102191</v>
      </c>
      <c r="G32" s="25">
        <v>2</v>
      </c>
      <c r="H32" s="1">
        <v>2</v>
      </c>
      <c r="I32" s="1">
        <v>3.99</v>
      </c>
      <c r="J32">
        <v>2</v>
      </c>
      <c r="K32" cm="1">
        <f t="array" ref="K32">IF(BOM[[#This Row],[Item Type]]="Materials",ROUNDUP(SUMPRODUCT(IFERROR(VALUE(LEFT(BOM[Supplier Number], FIND("g", BOM[Supplier Number]) - 1)),0) * (BOM[Item Type] = "3D Print")*((BOM[QTY per Assy]*$C$2+(ROUNDUP(BOM[QTY per Assy]*$C$2*0.1,0)))-BOM[In Stock]))/500,0)+1,ROUNDUP(BOM[[#This Row],[QTY per Assy]]*$C$2,0))</f>
        <v>28</v>
      </c>
      <c r="L32">
        <f>IF(BOM[[#This Row],[Item Type]]="Fixings",ROUNDUP(BOM[[#This Row],[Course Quantity]]*0.5,0), ROUNDUP(BOM[[#This Row],[Course Quantity]]*0.1,0))</f>
        <v>3</v>
      </c>
      <c r="M32">
        <f>BOM[[#This Row],[Course Quantity]]+BOM[[#This Row],[Required Spares]]</f>
        <v>31</v>
      </c>
      <c r="N32" s="1">
        <f>IFERROR(IFERROR(IF(BOM[[#This Row],[MOQ]]&gt;=BOM[[#This Row],[Total Quantity]],BOM[[#This Row],[Pack Cost (inc. VAT)]],IF(MOD(BOM[[#This Row],[Total Quantity]],BOM[[#This Row],[MOQ]]) = 0, BOM[[#This Row],[Pack Cost (inc. VAT)]]*BOM[[#This Row],[Total Quantity]],((ROUND(BOM[[#This Row],[Total Quantity]]/BOM[[#This Row],[MOQ]],0)+1)*BOM[[#This Row],[Pack Cost (inc. VAT)]]))),"")+BOM[[#This Row],[Estimated Delivery Cost]],"")</f>
        <v>37.99</v>
      </c>
      <c r="O32">
        <v>14</v>
      </c>
      <c r="P32" s="1">
        <f>IFERROR(BOM[[#This Row],[Estimated Delivery Cost]]+(BOM[[#This Row],[Pack Cost (inc. VAT)]]*ROUNDUP(BOM[[#This Row],[In Stock]]/BOM[[#This Row],[MOQ]],0)),"")</f>
        <v>17.990000000000002</v>
      </c>
      <c r="Q32">
        <f>IFERROR(IF(BOM[[#This Row],[In Stock]]&lt;BOM[[#This Row],[Total Quantity]],ROUNDUP((BOM[[#This Row],[Total Quantity]]-BOM[[#This Row],[In Stock]])/BOM[[#This Row],[MOQ]],0),""),"")</f>
        <v>9</v>
      </c>
      <c r="R32">
        <f>IFERROR(BOM[[#This Row],[Packs to Replenish]]*BOM[[#This Row],[MOQ]],"")</f>
        <v>18</v>
      </c>
      <c r="S32" s="1">
        <f>IFERROR(((BOM[[#This Row],[Packs to Replenish]]*BOM[[#This Row],[Pack Cost (inc. VAT)]])+BOM[[#This Row],[Estimated Delivery Cost]]),"")</f>
        <v>21.990000000000002</v>
      </c>
      <c r="U32" t="str">
        <f>IF(BOM[[#This Row],[In Stock]]-BOM[[#This Row],[Total Quantity]]&gt;=1,BOM[[#This Row],[In Stock]]-BOM[[#This Row],[Total Quantity]],"Insufficient Stock")</f>
        <v>Insufficient Stock</v>
      </c>
    </row>
    <row r="33" spans="2:21" x14ac:dyDescent="0.3">
      <c r="B33" t="s">
        <v>89</v>
      </c>
      <c r="C33" t="s">
        <v>29</v>
      </c>
      <c r="D33" t="s">
        <v>27</v>
      </c>
      <c r="E33" t="s">
        <v>45</v>
      </c>
      <c r="F33" s="2" t="s">
        <v>56</v>
      </c>
      <c r="G33" s="25">
        <v>2</v>
      </c>
      <c r="H33" s="1">
        <v>5.95</v>
      </c>
      <c r="I33" s="1">
        <v>6.95</v>
      </c>
      <c r="J33">
        <v>100</v>
      </c>
      <c r="K33" cm="1">
        <f t="array" ref="K33">IF(BOM[[#This Row],[Item Type]]="Materials",ROUNDUP(SUMPRODUCT(IFERROR(VALUE(LEFT(BOM[Supplier Number], FIND("g", BOM[Supplier Number]) - 1)),0) * (BOM[Item Type] = "3D Print")*((BOM[QTY per Assy]*$C$2+(ROUNDUP(BOM[QTY per Assy]*$C$2*0.1,0)))-BOM[In Stock]))/500,0)+1,ROUNDUP(BOM[[#This Row],[QTY per Assy]]*$C$2,0))</f>
        <v>28</v>
      </c>
      <c r="L33">
        <f>IF(BOM[[#This Row],[Item Type]]="Fixings",ROUNDUP(BOM[[#This Row],[Course Quantity]]*0.5,0), ROUNDUP(BOM[[#This Row],[Course Quantity]]*0.1,0))</f>
        <v>3</v>
      </c>
      <c r="M33">
        <f>BOM[[#This Row],[Course Quantity]]+BOM[[#This Row],[Required Spares]]</f>
        <v>31</v>
      </c>
      <c r="N33" s="1">
        <f>IFERROR(IFERROR(IF(BOM[[#This Row],[MOQ]]&gt;=BOM[[#This Row],[Total Quantity]],BOM[[#This Row],[Pack Cost (inc. VAT)]],IF(MOD(BOM[[#This Row],[Total Quantity]],BOM[[#This Row],[MOQ]]) = 0, BOM[[#This Row],[Pack Cost (inc. VAT)]]*BOM[[#This Row],[Total Quantity]],((ROUND(BOM[[#This Row],[Total Quantity]]/BOM[[#This Row],[MOQ]],0)+1)*BOM[[#This Row],[Pack Cost (inc. VAT)]]))),"")+BOM[[#This Row],[Estimated Delivery Cost]],"")</f>
        <v>12.9</v>
      </c>
      <c r="O33">
        <v>100</v>
      </c>
      <c r="P33" s="1">
        <f>IFERROR(BOM[[#This Row],[Estimated Delivery Cost]]+(BOM[[#This Row],[Pack Cost (inc. VAT)]]*ROUNDUP(BOM[[#This Row],[In Stock]]/BOM[[#This Row],[MOQ]],0)),"")</f>
        <v>12.9</v>
      </c>
      <c r="Q33" t="str">
        <f>IFERROR(IF(BOM[[#This Row],[In Stock]]&lt;BOM[[#This Row],[Total Quantity]],ROUNDUP((BOM[[#This Row],[Total Quantity]]-BOM[[#This Row],[In Stock]])/BOM[[#This Row],[MOQ]],0),""),"")</f>
        <v/>
      </c>
      <c r="R33" t="str">
        <f>IFERROR(BOM[[#This Row],[Packs to Replenish]]*BOM[[#This Row],[MOQ]],"")</f>
        <v/>
      </c>
      <c r="S33" s="1" t="str">
        <f>IFERROR(((BOM[[#This Row],[Packs to Replenish]]*BOM[[#This Row],[Pack Cost (inc. VAT)]])+BOM[[#This Row],[Estimated Delivery Cost]]),"")</f>
        <v/>
      </c>
      <c r="U33">
        <f>IF(BOM[[#This Row],[In Stock]]-BOM[[#This Row],[Total Quantity]]&gt;=1,BOM[[#This Row],[In Stock]]-BOM[[#This Row],[Total Quantity]],"Insufficient Stock")</f>
        <v>69</v>
      </c>
    </row>
    <row r="34" spans="2:21" x14ac:dyDescent="0.3">
      <c r="B34" t="s">
        <v>87</v>
      </c>
      <c r="C34" t="s">
        <v>26</v>
      </c>
      <c r="D34" t="s">
        <v>27</v>
      </c>
      <c r="E34" t="s">
        <v>54</v>
      </c>
      <c r="F34" s="2" t="s">
        <v>55</v>
      </c>
      <c r="G34" s="25">
        <v>1</v>
      </c>
      <c r="H34" s="1">
        <v>11.99</v>
      </c>
      <c r="I34" s="1">
        <v>0</v>
      </c>
      <c r="J34">
        <v>12</v>
      </c>
      <c r="K34" cm="1">
        <f t="array" ref="K34">IF(BOM[[#This Row],[Item Type]]="Materials",ROUNDUP(SUMPRODUCT(IFERROR(VALUE(LEFT(BOM[Supplier Number], FIND("g", BOM[Supplier Number]) - 1)),0) * (BOM[Item Type] = "3D Print")*((BOM[QTY per Assy]*$C$2+(ROUNDUP(BOM[QTY per Assy]*$C$2*0.1,0)))-BOM[In Stock]))/500,0)+1,ROUNDUP(BOM[[#This Row],[QTY per Assy]]*$C$2,0))</f>
        <v>14</v>
      </c>
      <c r="L34">
        <f>IF(BOM[[#This Row],[Item Type]]="Fixings",ROUNDUP(BOM[[#This Row],[Course Quantity]]*0.5,0), ROUNDUP(BOM[[#This Row],[Course Quantity]]*0.1,0))</f>
        <v>2</v>
      </c>
      <c r="M34">
        <f>BOM[[#This Row],[Course Quantity]]+BOM[[#This Row],[Required Spares]]</f>
        <v>16</v>
      </c>
      <c r="N34" s="1">
        <f>IFERROR(IFERROR(IF(BOM[[#This Row],[MOQ]]&gt;=BOM[[#This Row],[Total Quantity]],BOM[[#This Row],[Pack Cost (inc. VAT)]],IF(MOD(BOM[[#This Row],[Total Quantity]],BOM[[#This Row],[MOQ]]) = 0, BOM[[#This Row],[Pack Cost (inc. VAT)]]*BOM[[#This Row],[Total Quantity]],((ROUND(BOM[[#This Row],[Total Quantity]]/BOM[[#This Row],[MOQ]],0)+1)*BOM[[#This Row],[Pack Cost (inc. VAT)]]))),"")+BOM[[#This Row],[Estimated Delivery Cost]],"")</f>
        <v>23.98</v>
      </c>
      <c r="O34">
        <v>13</v>
      </c>
      <c r="P34" s="1">
        <f>IFERROR(BOM[[#This Row],[Estimated Delivery Cost]]+(BOM[[#This Row],[Pack Cost (inc. VAT)]]*ROUNDUP(BOM[[#This Row],[In Stock]]/BOM[[#This Row],[MOQ]],0)),"")</f>
        <v>23.98</v>
      </c>
      <c r="Q34">
        <f>IFERROR(IF(BOM[[#This Row],[In Stock]]&lt;BOM[[#This Row],[Total Quantity]],ROUNDUP((BOM[[#This Row],[Total Quantity]]-BOM[[#This Row],[In Stock]])/BOM[[#This Row],[MOQ]],0),""),"")</f>
        <v>1</v>
      </c>
      <c r="R34">
        <f>IFERROR(BOM[[#This Row],[Packs to Replenish]]*BOM[[#This Row],[MOQ]],"")</f>
        <v>12</v>
      </c>
      <c r="S34" s="1">
        <f>IFERROR(((BOM[[#This Row],[Packs to Replenish]]*BOM[[#This Row],[Pack Cost (inc. VAT)]])+BOM[[#This Row],[Estimated Delivery Cost]]),"")</f>
        <v>11.99</v>
      </c>
      <c r="U34" t="str">
        <f>IF(BOM[[#This Row],[In Stock]]-BOM[[#This Row],[Total Quantity]]&gt;=1,BOM[[#This Row],[In Stock]]-BOM[[#This Row],[Total Quantity]],"Insufficient Stock")</f>
        <v>Insufficient Stock</v>
      </c>
    </row>
    <row r="35" spans="2:21" x14ac:dyDescent="0.3">
      <c r="B35" t="s">
        <v>69</v>
      </c>
      <c r="C35" t="s">
        <v>30</v>
      </c>
      <c r="D35" t="s">
        <v>31</v>
      </c>
      <c r="E35" t="s">
        <v>99</v>
      </c>
      <c r="F35" t="s">
        <v>69</v>
      </c>
      <c r="G35" s="25">
        <v>1</v>
      </c>
      <c r="H35" s="1">
        <v>0</v>
      </c>
      <c r="I35" s="1">
        <v>0</v>
      </c>
      <c r="J35">
        <v>1</v>
      </c>
      <c r="K35" cm="1">
        <f t="array" ref="K35">IF(BOM[[#This Row],[Item Type]]="Materials",ROUNDUP(SUMPRODUCT(IFERROR(VALUE(LEFT(BOM[Supplier Number], FIND("g", BOM[Supplier Number]) - 1)),0) * (BOM[Item Type] = "3D Print")*((BOM[QTY per Assy]*$C$2+(ROUNDUP(BOM[QTY per Assy]*$C$2*0.1,0)))-BOM[In Stock]))/500,0)+1,ROUNDUP(BOM[[#This Row],[QTY per Assy]]*$C$2,0))</f>
        <v>14</v>
      </c>
      <c r="L35">
        <f>IF(BOM[[#This Row],[Item Type]]="Fixings",ROUNDUP(BOM[[#This Row],[Course Quantity]]*0.5,0), ROUNDUP(BOM[[#This Row],[Course Quantity]]*0.1,0))</f>
        <v>2</v>
      </c>
      <c r="M35">
        <f>BOM[[#This Row],[Course Quantity]]+BOM[[#This Row],[Required Spares]]</f>
        <v>16</v>
      </c>
      <c r="N35" s="1">
        <f>IFERROR(IFERROR(IF(BOM[[#This Row],[MOQ]]&gt;=BOM[[#This Row],[Total Quantity]],BOM[[#This Row],[Pack Cost (inc. VAT)]],IF(MOD(BOM[[#This Row],[Total Quantity]],BOM[[#This Row],[MOQ]]) = 0, BOM[[#This Row],[Pack Cost (inc. VAT)]]*BOM[[#This Row],[Total Quantity]],((ROUND(BOM[[#This Row],[Total Quantity]]/BOM[[#This Row],[MOQ]],0)+1)*BOM[[#This Row],[Pack Cost (inc. VAT)]]))),"")+BOM[[#This Row],[Estimated Delivery Cost]],"")</f>
        <v>0</v>
      </c>
      <c r="O35">
        <v>10</v>
      </c>
      <c r="P35" s="1">
        <f>IFERROR(BOM[[#This Row],[Estimated Delivery Cost]]+(BOM[[#This Row],[Pack Cost (inc. VAT)]]*ROUNDUP(BOM[[#This Row],[In Stock]]/BOM[[#This Row],[MOQ]],0)),"")</f>
        <v>0</v>
      </c>
      <c r="Q35">
        <f>IFERROR(IF(BOM[[#This Row],[In Stock]]&lt;BOM[[#This Row],[Total Quantity]],ROUNDUP((BOM[[#This Row],[Total Quantity]]-BOM[[#This Row],[In Stock]])/BOM[[#This Row],[MOQ]],0),""),"")</f>
        <v>6</v>
      </c>
      <c r="R35">
        <f>IFERROR(BOM[[#This Row],[Packs to Replenish]]*BOM[[#This Row],[MOQ]],"")</f>
        <v>6</v>
      </c>
      <c r="S35" s="1">
        <f>IFERROR(((BOM[[#This Row],[Packs to Replenish]]*BOM[[#This Row],[Pack Cost (inc. VAT)]])+BOM[[#This Row],[Estimated Delivery Cost]]),"")</f>
        <v>0</v>
      </c>
      <c r="U35" t="str">
        <f>IF(BOM[[#This Row],[In Stock]]-BOM[[#This Row],[Total Quantity]]&gt;=1,BOM[[#This Row],[In Stock]]-BOM[[#This Row],[Total Quantity]],"Insufficient Stock")</f>
        <v>Insufficient Stock</v>
      </c>
    </row>
    <row r="36" spans="2:21" x14ac:dyDescent="0.3">
      <c r="B36" t="s">
        <v>136</v>
      </c>
      <c r="C36" t="s">
        <v>137</v>
      </c>
      <c r="D36" t="s">
        <v>31</v>
      </c>
      <c r="E36" t="s">
        <v>99</v>
      </c>
      <c r="F36" t="s">
        <v>136</v>
      </c>
      <c r="G36" s="25">
        <v>1</v>
      </c>
      <c r="H36" s="1">
        <v>0</v>
      </c>
      <c r="I36" s="1">
        <v>0</v>
      </c>
      <c r="J36">
        <v>1</v>
      </c>
      <c r="K36" cm="1">
        <f t="array" ref="K36">IF(BOM[[#This Row],[Item Type]]="Materials",ROUNDUP(SUMPRODUCT(IFERROR(VALUE(LEFT(BOM[Supplier Number], FIND("g", BOM[Supplier Number]) - 1)),0) * (BOM[Item Type] = "3D Print")*((BOM[QTY per Assy]*$C$2+(ROUNDUP(BOM[QTY per Assy]*$C$2*0.1,0)))-BOM[In Stock]))/500,0)+1,ROUNDUP(BOM[[#This Row],[QTY per Assy]]*$C$2,0))</f>
        <v>14</v>
      </c>
      <c r="L36">
        <f>IF(BOM[[#This Row],[Item Type]]="Fixings",ROUNDUP(BOM[[#This Row],[Course Quantity]]*0.5,0), ROUNDUP(BOM[[#This Row],[Course Quantity]]*0.1,0))</f>
        <v>2</v>
      </c>
      <c r="M36">
        <f>BOM[[#This Row],[Course Quantity]]+BOM[[#This Row],[Required Spares]]</f>
        <v>16</v>
      </c>
      <c r="N36" s="1">
        <f>IFERROR(IFERROR(IF(BOM[[#This Row],[MOQ]]&gt;=BOM[[#This Row],[Total Quantity]],BOM[[#This Row],[Pack Cost (inc. VAT)]],IF(MOD(BOM[[#This Row],[Total Quantity]],BOM[[#This Row],[MOQ]]) = 0, BOM[[#This Row],[Pack Cost (inc. VAT)]]*BOM[[#This Row],[Total Quantity]],((ROUND(BOM[[#This Row],[Total Quantity]]/BOM[[#This Row],[MOQ]],0)+1)*BOM[[#This Row],[Pack Cost (inc. VAT)]]))),"")+BOM[[#This Row],[Estimated Delivery Cost]],"")</f>
        <v>0</v>
      </c>
      <c r="O36">
        <v>0</v>
      </c>
      <c r="P36" s="1">
        <f>IFERROR(BOM[[#This Row],[Estimated Delivery Cost]]+(BOM[[#This Row],[Pack Cost (inc. VAT)]]*ROUNDUP(BOM[[#This Row],[In Stock]]/BOM[[#This Row],[MOQ]],0)),"")</f>
        <v>0</v>
      </c>
      <c r="Q36">
        <f>IFERROR(IF(BOM[[#This Row],[In Stock]]&lt;BOM[[#This Row],[Total Quantity]],ROUNDUP((BOM[[#This Row],[Total Quantity]]-BOM[[#This Row],[In Stock]])/BOM[[#This Row],[MOQ]],0),""),"")</f>
        <v>16</v>
      </c>
      <c r="R36">
        <f>IFERROR(BOM[[#This Row],[Packs to Replenish]]*BOM[[#This Row],[MOQ]],"")</f>
        <v>16</v>
      </c>
      <c r="S36" s="1">
        <f>IFERROR(((BOM[[#This Row],[Packs to Replenish]]*BOM[[#This Row],[Pack Cost (inc. VAT)]])+BOM[[#This Row],[Estimated Delivery Cost]]),"")</f>
        <v>0</v>
      </c>
      <c r="U36" t="str">
        <f>IF(BOM[[#This Row],[In Stock]]-BOM[[#This Row],[Total Quantity]]&gt;=1,BOM[[#This Row],[In Stock]]-BOM[[#This Row],[Total Quantity]],"Insufficient Stock")</f>
        <v>Insufficient Stock</v>
      </c>
    </row>
    <row r="37" spans="2:21" x14ac:dyDescent="0.3">
      <c r="B37" t="s">
        <v>100</v>
      </c>
      <c r="C37" t="s">
        <v>32</v>
      </c>
      <c r="D37" t="s">
        <v>31</v>
      </c>
      <c r="E37" t="s">
        <v>99</v>
      </c>
      <c r="F37" t="s">
        <v>100</v>
      </c>
      <c r="G37" s="25">
        <v>2</v>
      </c>
      <c r="H37" s="1">
        <v>0</v>
      </c>
      <c r="I37" s="1">
        <v>0</v>
      </c>
      <c r="J37">
        <v>1</v>
      </c>
      <c r="K37" cm="1">
        <f t="array" ref="K37">IF(BOM[[#This Row],[Item Type]]="Materials",ROUNDUP(SUMPRODUCT(IFERROR(VALUE(LEFT(BOM[Supplier Number], FIND("g", BOM[Supplier Number]) - 1)),0) * (BOM[Item Type] = "3D Print")*((BOM[QTY per Assy]*$C$2+(ROUNDUP(BOM[QTY per Assy]*$C$2*0.1,0)))-BOM[In Stock]))/500,0)+1,ROUNDUP(BOM[[#This Row],[QTY per Assy]]*$C$2,0))</f>
        <v>28</v>
      </c>
      <c r="L37">
        <f>IF(BOM[[#This Row],[Item Type]]="Fixings",ROUNDUP(BOM[[#This Row],[Course Quantity]]*0.5,0), ROUNDUP(BOM[[#This Row],[Course Quantity]]*0.1,0))</f>
        <v>3</v>
      </c>
      <c r="M37">
        <f>BOM[[#This Row],[Course Quantity]]+BOM[[#This Row],[Required Spares]]</f>
        <v>31</v>
      </c>
      <c r="N37" s="1">
        <f>IFERROR(IFERROR(IF(BOM[[#This Row],[MOQ]]&gt;=BOM[[#This Row],[Total Quantity]],BOM[[#This Row],[Pack Cost (inc. VAT)]],IF(MOD(BOM[[#This Row],[Total Quantity]],BOM[[#This Row],[MOQ]]) = 0, BOM[[#This Row],[Pack Cost (inc. VAT)]]*BOM[[#This Row],[Total Quantity]],((ROUND(BOM[[#This Row],[Total Quantity]]/BOM[[#This Row],[MOQ]],0)+1)*BOM[[#This Row],[Pack Cost (inc. VAT)]]))),"")+BOM[[#This Row],[Estimated Delivery Cost]],"")</f>
        <v>0</v>
      </c>
      <c r="O37">
        <v>20</v>
      </c>
      <c r="P37" s="1">
        <f>IFERROR(BOM[[#This Row],[Estimated Delivery Cost]]+(BOM[[#This Row],[Pack Cost (inc. VAT)]]*ROUNDUP(BOM[[#This Row],[In Stock]]/BOM[[#This Row],[MOQ]],0)),"")</f>
        <v>0</v>
      </c>
      <c r="Q37">
        <f>IFERROR(IF(BOM[[#This Row],[In Stock]]&lt;BOM[[#This Row],[Total Quantity]],ROUNDUP((BOM[[#This Row],[Total Quantity]]-BOM[[#This Row],[In Stock]])/BOM[[#This Row],[MOQ]],0),""),"")</f>
        <v>11</v>
      </c>
      <c r="R37">
        <f>IFERROR(BOM[[#This Row],[Packs to Replenish]]*BOM[[#This Row],[MOQ]],"")</f>
        <v>11</v>
      </c>
      <c r="S37" s="1">
        <f>IFERROR(((BOM[[#This Row],[Packs to Replenish]]*BOM[[#This Row],[Pack Cost (inc. VAT)]])+BOM[[#This Row],[Estimated Delivery Cost]]),"")</f>
        <v>0</v>
      </c>
      <c r="U37" t="str">
        <f>IF(BOM[[#This Row],[In Stock]]-BOM[[#This Row],[Total Quantity]]&gt;=1,BOM[[#This Row],[In Stock]]-BOM[[#This Row],[Total Quantity]],"Insufficient Stock")</f>
        <v>Insufficient Stock</v>
      </c>
    </row>
    <row r="38" spans="2:21" x14ac:dyDescent="0.3">
      <c r="B38" t="s">
        <v>94</v>
      </c>
      <c r="C38" t="s">
        <v>95</v>
      </c>
      <c r="D38" t="s">
        <v>96</v>
      </c>
      <c r="E38" t="s">
        <v>129</v>
      </c>
      <c r="F38" s="2" t="s">
        <v>130</v>
      </c>
      <c r="G38" s="25">
        <v>1</v>
      </c>
      <c r="H38" s="1">
        <v>25.99</v>
      </c>
      <c r="I38" s="1">
        <v>4</v>
      </c>
      <c r="J38">
        <v>1</v>
      </c>
      <c r="K38" cm="1">
        <f t="array" ref="K38">IF(BOM[[#This Row],[Item Type]]="Materials",ROUNDUP(SUMPRODUCT(IFERROR(VALUE(LEFT(BOM[Supplier Number], FIND("g", BOM[Supplier Number]) - 1)),0) * (BOM[Item Type] = "3D Print")*((BOM[QTY per Assy]*$C$2+(ROUNDUP(BOM[QTY per Assy]*$C$2*0.1,0)))-BOM[In Stock]))/500,0)+1,ROUNDUP(BOM[[#This Row],[QTY per Assy]]*$C$2,0))</f>
        <v>6</v>
      </c>
      <c r="L38">
        <f>IF(BOM[[#This Row],[Item Type]]="Fixings",ROUNDUP(BOM[[#This Row],[Course Quantity]]*0.5,0), ROUNDUP(BOM[[#This Row],[Course Quantity]]*0.1,0))</f>
        <v>1</v>
      </c>
      <c r="M38">
        <f>BOM[[#This Row],[Course Quantity]]+BOM[[#This Row],[Required Spares]]</f>
        <v>7</v>
      </c>
      <c r="N38" s="1">
        <f>IFERROR(IFERROR(IF(BOM[[#This Row],[MOQ]]&gt;=BOM[[#This Row],[Total Quantity]],BOM[[#This Row],[Pack Cost (inc. VAT)]],IF(MOD(BOM[[#This Row],[Total Quantity]],BOM[[#This Row],[MOQ]]) = 0, BOM[[#This Row],[Pack Cost (inc. VAT)]]*BOM[[#This Row],[Total Quantity]],((ROUND(BOM[[#This Row],[Total Quantity]]/BOM[[#This Row],[MOQ]],0)+1)*BOM[[#This Row],[Pack Cost (inc. VAT)]]))),"")+BOM[[#This Row],[Estimated Delivery Cost]],"")</f>
        <v>185.92999999999998</v>
      </c>
      <c r="O38">
        <v>0</v>
      </c>
      <c r="P38" s="1">
        <f>IFERROR(BOM[[#This Row],[Estimated Delivery Cost]]+(BOM[[#This Row],[Pack Cost (inc. VAT)]]*ROUNDUP(BOM[[#This Row],[In Stock]]/BOM[[#This Row],[MOQ]],0)),"")</f>
        <v>4</v>
      </c>
      <c r="Q38">
        <f>IFERROR(IF(BOM[[#This Row],[In Stock]]&lt;BOM[[#This Row],[Total Quantity]],ROUNDUP((BOM[[#This Row],[Total Quantity]]-BOM[[#This Row],[In Stock]])/BOM[[#This Row],[MOQ]],0),""),"")</f>
        <v>7</v>
      </c>
      <c r="R38">
        <f>IFERROR(BOM[[#This Row],[Packs to Replenish]]*BOM[[#This Row],[MOQ]],"")</f>
        <v>7</v>
      </c>
      <c r="S38" s="1">
        <f>IFERROR(((BOM[[#This Row],[Packs to Replenish]]*BOM[[#This Row],[Pack Cost (inc. VAT)]])+BOM[[#This Row],[Estimated Delivery Cost]]),"")</f>
        <v>185.92999999999998</v>
      </c>
      <c r="U38" t="str">
        <f>IF(BOM[[#This Row],[In Stock]]-BOM[[#This Row],[Total Quantity]]&gt;=1,BOM[[#This Row],[In Stock]]-BOM[[#This Row],[Total Quantity]],"Insufficient Stock")</f>
        <v>Insufficient Stock</v>
      </c>
    </row>
    <row r="39" spans="2:21" x14ac:dyDescent="0.3">
      <c r="B39" t="s">
        <v>90</v>
      </c>
      <c r="C39" t="s">
        <v>33</v>
      </c>
      <c r="D39" t="s">
        <v>34</v>
      </c>
      <c r="E39" t="s">
        <v>117</v>
      </c>
      <c r="F39" s="2">
        <v>196339</v>
      </c>
      <c r="G39" s="25">
        <v>1</v>
      </c>
      <c r="H39" s="1">
        <v>3.99</v>
      </c>
      <c r="I39" s="1">
        <v>0</v>
      </c>
      <c r="J39">
        <v>1</v>
      </c>
      <c r="K39" cm="1">
        <f t="array" ref="K39">IF(BOM[[#This Row],[Item Type]]="Materials",ROUNDUP(SUMPRODUCT(IFERROR(VALUE(LEFT(BOM[Supplier Number], FIND("g", BOM[Supplier Number]) - 1)),0) * (BOM[Item Type] = "3D Print")*((BOM[QTY per Assy]*$C$2+(ROUNDUP(BOM[QTY per Assy]*$C$2*0.1,0)))-BOM[In Stock]))/500,0)+1,ROUNDUP(BOM[[#This Row],[QTY per Assy]]*$C$2,0))</f>
        <v>14</v>
      </c>
      <c r="L39">
        <f>IF(BOM[[#This Row],[Item Type]]="Fixings",ROUNDUP(BOM[[#This Row],[Course Quantity]]*0.5,0), ROUNDUP(BOM[[#This Row],[Course Quantity]]*0.1,0))</f>
        <v>2</v>
      </c>
      <c r="M39">
        <f>BOM[[#This Row],[Course Quantity]]+BOM[[#This Row],[Required Spares]]</f>
        <v>16</v>
      </c>
      <c r="N39" s="1">
        <f>IFERROR(IFERROR(IF(BOM[[#This Row],[MOQ]]&gt;=BOM[[#This Row],[Total Quantity]],BOM[[#This Row],[Pack Cost (inc. VAT)]],IF(MOD(BOM[[#This Row],[Total Quantity]],BOM[[#This Row],[MOQ]]) = 0, BOM[[#This Row],[Pack Cost (inc. VAT)]]*BOM[[#This Row],[Total Quantity]],((ROUND(BOM[[#This Row],[Total Quantity]]/BOM[[#This Row],[MOQ]],0)+1)*BOM[[#This Row],[Pack Cost (inc. VAT)]]))),"")+BOM[[#This Row],[Estimated Delivery Cost]],"")</f>
        <v>63.84</v>
      </c>
      <c r="O39">
        <v>0</v>
      </c>
      <c r="P39" s="1">
        <f>IFERROR(BOM[[#This Row],[Estimated Delivery Cost]]+(BOM[[#This Row],[Pack Cost (inc. VAT)]]*ROUNDUP(BOM[[#This Row],[In Stock]]/BOM[[#This Row],[MOQ]],0)),"")</f>
        <v>0</v>
      </c>
      <c r="Q39">
        <f>IFERROR(IF(BOM[[#This Row],[In Stock]]&lt;BOM[[#This Row],[Total Quantity]],ROUNDUP((BOM[[#This Row],[Total Quantity]]-BOM[[#This Row],[In Stock]])/BOM[[#This Row],[MOQ]],0),""),"")</f>
        <v>16</v>
      </c>
      <c r="R39">
        <f>IFERROR(BOM[[#This Row],[Packs to Replenish]]*BOM[[#This Row],[MOQ]],"")</f>
        <v>16</v>
      </c>
      <c r="S39" s="1">
        <f>IFERROR(((BOM[[#This Row],[Packs to Replenish]]*BOM[[#This Row],[Pack Cost (inc. VAT)]])+BOM[[#This Row],[Estimated Delivery Cost]]),"")</f>
        <v>63.84</v>
      </c>
      <c r="U39" t="str">
        <f>IF(BOM[[#This Row],[In Stock]]-BOM[[#This Row],[Total Quantity]]&gt;=1,BOM[[#This Row],[In Stock]]-BOM[[#This Row],[Total Quantity]],"Insufficient Stock")</f>
        <v>Insufficient Stock</v>
      </c>
    </row>
    <row r="40" spans="2:21" x14ac:dyDescent="0.3">
      <c r="B40" t="s">
        <v>92</v>
      </c>
      <c r="C40" t="s">
        <v>118</v>
      </c>
      <c r="D40" t="s">
        <v>34</v>
      </c>
      <c r="E40" t="s">
        <v>45</v>
      </c>
      <c r="F40" s="2" t="s">
        <v>102</v>
      </c>
      <c r="G40" s="25">
        <v>1</v>
      </c>
      <c r="H40" s="1">
        <v>1.8</v>
      </c>
      <c r="I40" s="1">
        <v>6.95</v>
      </c>
      <c r="J40">
        <v>1</v>
      </c>
      <c r="K40" cm="1">
        <f t="array" ref="K40">IF(BOM[[#This Row],[Item Type]]="Materials",ROUNDUP(SUMPRODUCT(IFERROR(VALUE(LEFT(BOM[Supplier Number], FIND("g", BOM[Supplier Number]) - 1)),0) * (BOM[Item Type] = "3D Print")*((BOM[QTY per Assy]*$C$2+(ROUNDUP(BOM[QTY per Assy]*$C$2*0.1,0)))-BOM[In Stock]))/500,0)+1,ROUNDUP(BOM[[#This Row],[QTY per Assy]]*$C$2,0))</f>
        <v>14</v>
      </c>
      <c r="L40">
        <f>IF(BOM[[#This Row],[Item Type]]="Fixings",ROUNDUP(BOM[[#This Row],[Course Quantity]]*0.5,0), ROUNDUP(BOM[[#This Row],[Course Quantity]]*0.1,0))</f>
        <v>2</v>
      </c>
      <c r="M40">
        <f>BOM[[#This Row],[Course Quantity]]+BOM[[#This Row],[Required Spares]]</f>
        <v>16</v>
      </c>
      <c r="N40" s="1">
        <f>IFERROR(IFERROR(IF(BOM[[#This Row],[MOQ]]&gt;=BOM[[#This Row],[Total Quantity]],BOM[[#This Row],[Pack Cost (inc. VAT)]],IF(MOD(BOM[[#This Row],[Total Quantity]],BOM[[#This Row],[MOQ]]) = 0, BOM[[#This Row],[Pack Cost (inc. VAT)]]*BOM[[#This Row],[Total Quantity]],((ROUND(BOM[[#This Row],[Total Quantity]]/BOM[[#This Row],[MOQ]],0)+1)*BOM[[#This Row],[Pack Cost (inc. VAT)]]))),"")+BOM[[#This Row],[Estimated Delivery Cost]],"")</f>
        <v>35.75</v>
      </c>
      <c r="O40">
        <v>6</v>
      </c>
      <c r="P40" s="1">
        <f>IFERROR(BOM[[#This Row],[Estimated Delivery Cost]]+(BOM[[#This Row],[Pack Cost (inc. VAT)]]*ROUNDUP(BOM[[#This Row],[In Stock]]/BOM[[#This Row],[MOQ]],0)),"")</f>
        <v>17.75</v>
      </c>
      <c r="Q40">
        <f>IFERROR(IF(BOM[[#This Row],[In Stock]]&lt;BOM[[#This Row],[Total Quantity]],ROUNDUP((BOM[[#This Row],[Total Quantity]]-BOM[[#This Row],[In Stock]])/BOM[[#This Row],[MOQ]],0),""),"")</f>
        <v>10</v>
      </c>
      <c r="R40">
        <f>IFERROR(BOM[[#This Row],[Packs to Replenish]]*BOM[[#This Row],[MOQ]],"")</f>
        <v>10</v>
      </c>
      <c r="S40" s="1">
        <f>IFERROR(((BOM[[#This Row],[Packs to Replenish]]*BOM[[#This Row],[Pack Cost (inc. VAT)]])+BOM[[#This Row],[Estimated Delivery Cost]]),"")</f>
        <v>24.95</v>
      </c>
      <c r="U40" t="str">
        <f>IF(BOM[[#This Row],[In Stock]]-BOM[[#This Row],[Total Quantity]]&gt;=1,BOM[[#This Row],[In Stock]]-BOM[[#This Row],[Total Quantity]],"Insufficient Stock")</f>
        <v>Insufficient Stock</v>
      </c>
    </row>
    <row r="41" spans="2:21" x14ac:dyDescent="0.3">
      <c r="B41" t="s">
        <v>104</v>
      </c>
      <c r="C41" t="s">
        <v>119</v>
      </c>
      <c r="D41" t="s">
        <v>34</v>
      </c>
      <c r="E41" t="s">
        <v>120</v>
      </c>
      <c r="F41" s="2" t="s">
        <v>121</v>
      </c>
      <c r="G41" s="25">
        <v>1</v>
      </c>
      <c r="H41" s="1">
        <v>2.09</v>
      </c>
      <c r="I41" s="1">
        <v>0</v>
      </c>
      <c r="J41">
        <v>1</v>
      </c>
      <c r="K41" cm="1">
        <f t="array" ref="K41">IF(BOM[[#This Row],[Item Type]]="Materials",ROUNDUP(SUMPRODUCT(IFERROR(VALUE(LEFT(BOM[Supplier Number], FIND("g", BOM[Supplier Number]) - 1)),0) * (BOM[Item Type] = "3D Print")*((BOM[QTY per Assy]*$C$2+(ROUNDUP(BOM[QTY per Assy]*$C$2*0.1,0)))-BOM[In Stock]))/500,0)+1,ROUNDUP(BOM[[#This Row],[QTY per Assy]]*$C$2,0))</f>
        <v>14</v>
      </c>
      <c r="L41">
        <f>IF(BOM[[#This Row],[Item Type]]="Fixings",ROUNDUP(BOM[[#This Row],[Course Quantity]]*0.5,0), ROUNDUP(BOM[[#This Row],[Course Quantity]]*0.1,0))</f>
        <v>2</v>
      </c>
      <c r="M41">
        <f>BOM[[#This Row],[Course Quantity]]+BOM[[#This Row],[Required Spares]]</f>
        <v>16</v>
      </c>
      <c r="N41" s="1">
        <f>IFERROR(IFERROR(IF(BOM[[#This Row],[MOQ]]&gt;=BOM[[#This Row],[Total Quantity]],BOM[[#This Row],[Pack Cost (inc. VAT)]],IF(MOD(BOM[[#This Row],[Total Quantity]],BOM[[#This Row],[MOQ]]) = 0, BOM[[#This Row],[Pack Cost (inc. VAT)]]*BOM[[#This Row],[Total Quantity]],((ROUND(BOM[[#This Row],[Total Quantity]]/BOM[[#This Row],[MOQ]],0)+1)*BOM[[#This Row],[Pack Cost (inc. VAT)]]))),"")+BOM[[#This Row],[Estimated Delivery Cost]],"")</f>
        <v>33.44</v>
      </c>
      <c r="O41">
        <v>0</v>
      </c>
      <c r="P41" s="1">
        <f>IFERROR(BOM[[#This Row],[Estimated Delivery Cost]]+(BOM[[#This Row],[Pack Cost (inc. VAT)]]*ROUNDUP(BOM[[#This Row],[In Stock]]/BOM[[#This Row],[MOQ]],0)),"")</f>
        <v>0</v>
      </c>
      <c r="Q41">
        <f>IFERROR(IF(BOM[[#This Row],[In Stock]]&lt;BOM[[#This Row],[Total Quantity]],ROUNDUP((BOM[[#This Row],[Total Quantity]]-BOM[[#This Row],[In Stock]])/BOM[[#This Row],[MOQ]],0),""),"")</f>
        <v>16</v>
      </c>
      <c r="R41">
        <f>IFERROR(BOM[[#This Row],[Packs to Replenish]]*BOM[[#This Row],[MOQ]],"")</f>
        <v>16</v>
      </c>
      <c r="S41" s="1">
        <f>IFERROR(((BOM[[#This Row],[Packs to Replenish]]*BOM[[#This Row],[Pack Cost (inc. VAT)]])+BOM[[#This Row],[Estimated Delivery Cost]]),"")</f>
        <v>33.44</v>
      </c>
      <c r="U41" t="str">
        <f>IF(BOM[[#This Row],[In Stock]]-BOM[[#This Row],[Total Quantity]]&gt;=1,BOM[[#This Row],[In Stock]]-BOM[[#This Row],[Total Quantity]],"Insufficient Stock")</f>
        <v>Insufficient Stock</v>
      </c>
    </row>
    <row r="42" spans="2:21" x14ac:dyDescent="0.3">
      <c r="B42" t="s">
        <v>91</v>
      </c>
      <c r="C42" t="s">
        <v>35</v>
      </c>
      <c r="D42" t="s">
        <v>34</v>
      </c>
      <c r="E42" t="s">
        <v>54</v>
      </c>
      <c r="F42" s="2" t="s">
        <v>101</v>
      </c>
      <c r="G42" s="25">
        <v>1</v>
      </c>
      <c r="H42" s="1">
        <v>9.99</v>
      </c>
      <c r="I42" s="1">
        <v>0</v>
      </c>
      <c r="J42">
        <v>3</v>
      </c>
      <c r="K42" cm="1">
        <f t="array" ref="K42">IF(BOM[[#This Row],[Item Type]]="Materials",ROUNDUP(SUMPRODUCT(IFERROR(VALUE(LEFT(BOM[Supplier Number], FIND("g", BOM[Supplier Number]) - 1)),0) * (BOM[Item Type] = "3D Print")*((BOM[QTY per Assy]*$C$2+(ROUNDUP(BOM[QTY per Assy]*$C$2*0.1,0)))-BOM[In Stock]))/500,0)+1,ROUNDUP(BOM[[#This Row],[QTY per Assy]]*$C$2,0))</f>
        <v>14</v>
      </c>
      <c r="L42">
        <f>IF(BOM[[#This Row],[Item Type]]="Fixings",ROUNDUP(BOM[[#This Row],[Course Quantity]]*0.5,0), ROUNDUP(BOM[[#This Row],[Course Quantity]]*0.1,0))</f>
        <v>2</v>
      </c>
      <c r="M42">
        <f>BOM[[#This Row],[Course Quantity]]+BOM[[#This Row],[Required Spares]]</f>
        <v>16</v>
      </c>
      <c r="N42" s="1">
        <f>IFERROR(IFERROR(IF(BOM[[#This Row],[MOQ]]&gt;=BOM[[#This Row],[Total Quantity]],BOM[[#This Row],[Pack Cost (inc. VAT)]],IF(MOD(BOM[[#This Row],[Total Quantity]],BOM[[#This Row],[MOQ]]) = 0, BOM[[#This Row],[Pack Cost (inc. VAT)]]*BOM[[#This Row],[Total Quantity]],((ROUND(BOM[[#This Row],[Total Quantity]]/BOM[[#This Row],[MOQ]],0)+1)*BOM[[#This Row],[Pack Cost (inc. VAT)]]))),"")+BOM[[#This Row],[Estimated Delivery Cost]],"")</f>
        <v>59.94</v>
      </c>
      <c r="O42">
        <v>10</v>
      </c>
      <c r="P42" s="1">
        <f>IFERROR(BOM[[#This Row],[Estimated Delivery Cost]]+(BOM[[#This Row],[Pack Cost (inc. VAT)]]*ROUNDUP(BOM[[#This Row],[In Stock]]/BOM[[#This Row],[MOQ]],0)),"")</f>
        <v>39.96</v>
      </c>
      <c r="Q42">
        <f>IFERROR(IF(BOM[[#This Row],[In Stock]]&lt;BOM[[#This Row],[Total Quantity]],ROUNDUP((BOM[[#This Row],[Total Quantity]]-BOM[[#This Row],[In Stock]])/BOM[[#This Row],[MOQ]],0),""),"")</f>
        <v>2</v>
      </c>
      <c r="R42">
        <f>IFERROR(BOM[[#This Row],[Packs to Replenish]]*BOM[[#This Row],[MOQ]],"")</f>
        <v>6</v>
      </c>
      <c r="S42" s="1">
        <f>IFERROR(((BOM[[#This Row],[Packs to Replenish]]*BOM[[#This Row],[Pack Cost (inc. VAT)]])+BOM[[#This Row],[Estimated Delivery Cost]]),"")</f>
        <v>19.98</v>
      </c>
      <c r="U42" t="str">
        <f>IF(BOM[[#This Row],[In Stock]]-BOM[[#This Row],[Total Quantity]]&gt;=1,BOM[[#This Row],[In Stock]]-BOM[[#This Row],[Total Quantity]],"Insufficient Stock")</f>
        <v>Insufficient Stock</v>
      </c>
    </row>
    <row r="43" spans="2:21" x14ac:dyDescent="0.3">
      <c r="B43" t="s">
        <v>175</v>
      </c>
      <c r="C43" t="s">
        <v>177</v>
      </c>
      <c r="D43" t="s">
        <v>4</v>
      </c>
      <c r="E43" t="s">
        <v>98</v>
      </c>
      <c r="F43" s="2" t="s">
        <v>178</v>
      </c>
      <c r="G43" s="25">
        <f>1/3</f>
        <v>0.33333333333333331</v>
      </c>
      <c r="H43" s="1">
        <v>0</v>
      </c>
      <c r="I43" s="1">
        <v>0</v>
      </c>
      <c r="J43">
        <v>1</v>
      </c>
      <c r="K43" cm="1">
        <f t="array" ref="K43">IF(BOM[[#This Row],[Item Type]]="Materials",ROUNDUP(SUMPRODUCT(IFERROR(VALUE(LEFT(BOM[Supplier Number], FIND("g", BOM[Supplier Number]) - 1)),0) * (BOM[Item Type] = "3D Print")*((BOM[QTY per Assy]*$C$2+(ROUNDUP(BOM[QTY per Assy]*$C$2*0.1,0)))-BOM[In Stock]))/500,0)+1,ROUNDUP(BOM[[#This Row],[QTY per Assy]]*$C$2,0))</f>
        <v>5</v>
      </c>
      <c r="L43">
        <f>IF(BOM[[#This Row],[Item Type]]="Fixings",ROUNDUP(BOM[[#This Row],[Course Quantity]]*0.5,0), ROUNDUP(BOM[[#This Row],[Course Quantity]]*0.1,0))</f>
        <v>1</v>
      </c>
      <c r="M43">
        <f>BOM[[#This Row],[Course Quantity]]+BOM[[#This Row],[Required Spares]]</f>
        <v>6</v>
      </c>
      <c r="N43" s="1">
        <f>IFERROR(IFERROR(IF(BOM[[#This Row],[MOQ]]&gt;=BOM[[#This Row],[Total Quantity]],BOM[[#This Row],[Pack Cost (inc. VAT)]],IF(MOD(BOM[[#This Row],[Total Quantity]],BOM[[#This Row],[MOQ]]) = 0, BOM[[#This Row],[Pack Cost (inc. VAT)]]*BOM[[#This Row],[Total Quantity]],((ROUND(BOM[[#This Row],[Total Quantity]]/BOM[[#This Row],[MOQ]],0)+1)*BOM[[#This Row],[Pack Cost (inc. VAT)]]))),"")+BOM[[#This Row],[Estimated Delivery Cost]],"")</f>
        <v>0</v>
      </c>
      <c r="O43">
        <v>0</v>
      </c>
      <c r="P43" s="1">
        <f>IFERROR(BOM[[#This Row],[Estimated Delivery Cost]]+(BOM[[#This Row],[Pack Cost (inc. VAT)]]*ROUNDUP(BOM[[#This Row],[In Stock]]/BOM[[#This Row],[MOQ]],0)),"")</f>
        <v>0</v>
      </c>
      <c r="Q43">
        <f>IFERROR(IF(BOM[[#This Row],[In Stock]]&lt;BOM[[#This Row],[Total Quantity]],ROUNDUP((BOM[[#This Row],[Total Quantity]]-BOM[[#This Row],[In Stock]])/BOM[[#This Row],[MOQ]],0),""),"")</f>
        <v>6</v>
      </c>
      <c r="R43">
        <f>IFERROR(BOM[[#This Row],[Packs to Replenish]]*BOM[[#This Row],[MOQ]],"")</f>
        <v>6</v>
      </c>
      <c r="S43" s="1">
        <f>IFERROR(((BOM[[#This Row],[Packs to Replenish]]*BOM[[#This Row],[Pack Cost (inc. VAT)]])+BOM[[#This Row],[Estimated Delivery Cost]]),"")</f>
        <v>0</v>
      </c>
      <c r="U43" t="str">
        <f>IF(BOM[[#This Row],[In Stock]]-BOM[[#This Row],[Total Quantity]]&gt;=1,BOM[[#This Row],[In Stock]]-BOM[[#This Row],[Total Quantity]],"Insufficient Stock")</f>
        <v>Insufficient Stock</v>
      </c>
    </row>
    <row r="44" spans="2:21" x14ac:dyDescent="0.3">
      <c r="B44" t="s">
        <v>176</v>
      </c>
      <c r="C44" t="s">
        <v>180</v>
      </c>
      <c r="D44" t="s">
        <v>4</v>
      </c>
      <c r="E44" t="s">
        <v>98</v>
      </c>
      <c r="F44" s="2" t="s">
        <v>179</v>
      </c>
      <c r="G44" s="25">
        <v>1</v>
      </c>
      <c r="H44" s="1">
        <v>0</v>
      </c>
      <c r="I44" s="1">
        <v>0</v>
      </c>
      <c r="J44">
        <v>1</v>
      </c>
      <c r="K44" cm="1">
        <f t="array" ref="K44">IF(BOM[[#This Row],[Item Type]]="Materials",ROUNDUP(SUMPRODUCT(IFERROR(VALUE(LEFT(BOM[Supplier Number], FIND("g", BOM[Supplier Number]) - 1)),0) * (BOM[Item Type] = "3D Print")*((BOM[QTY per Assy]*$C$2+(ROUNDUP(BOM[QTY per Assy]*$C$2*0.1,0)))-BOM[In Stock]))/500,0)+1,ROUNDUP(BOM[[#This Row],[QTY per Assy]]*$C$2,0))</f>
        <v>14</v>
      </c>
      <c r="L44">
        <f>IF(BOM[[#This Row],[Item Type]]="Fixings",ROUNDUP(BOM[[#This Row],[Course Quantity]]*0.5,0), ROUNDUP(BOM[[#This Row],[Course Quantity]]*0.1,0))</f>
        <v>2</v>
      </c>
      <c r="M44">
        <f>BOM[[#This Row],[Course Quantity]]+BOM[[#This Row],[Required Spares]]</f>
        <v>16</v>
      </c>
      <c r="N44" s="1">
        <f>IFERROR(IFERROR(IF(BOM[[#This Row],[MOQ]]&gt;=BOM[[#This Row],[Total Quantity]],BOM[[#This Row],[Pack Cost (inc. VAT)]],IF(MOD(BOM[[#This Row],[Total Quantity]],BOM[[#This Row],[MOQ]]) = 0, BOM[[#This Row],[Pack Cost (inc. VAT)]]*BOM[[#This Row],[Total Quantity]],((ROUND(BOM[[#This Row],[Total Quantity]]/BOM[[#This Row],[MOQ]],0)+1)*BOM[[#This Row],[Pack Cost (inc. VAT)]]))),"")+BOM[[#This Row],[Estimated Delivery Cost]],"")</f>
        <v>0</v>
      </c>
      <c r="O44">
        <v>4</v>
      </c>
      <c r="P44" s="1">
        <f>IFERROR(BOM[[#This Row],[Estimated Delivery Cost]]+(BOM[[#This Row],[Pack Cost (inc. VAT)]]*ROUNDUP(BOM[[#This Row],[In Stock]]/BOM[[#This Row],[MOQ]],0)),"")</f>
        <v>0</v>
      </c>
      <c r="Q44">
        <f>IFERROR(IF(BOM[[#This Row],[In Stock]]&lt;BOM[[#This Row],[Total Quantity]],ROUNDUP((BOM[[#This Row],[Total Quantity]]-BOM[[#This Row],[In Stock]])/BOM[[#This Row],[MOQ]],0),""),"")</f>
        <v>12</v>
      </c>
      <c r="R44">
        <f>IFERROR(BOM[[#This Row],[Packs to Replenish]]*BOM[[#This Row],[MOQ]],"")</f>
        <v>12</v>
      </c>
      <c r="S44" s="1">
        <f>IFERROR(((BOM[[#This Row],[Packs to Replenish]]*BOM[[#This Row],[Pack Cost (inc. VAT)]])+BOM[[#This Row],[Estimated Delivery Cost]]),"")</f>
        <v>0</v>
      </c>
      <c r="U44" t="str">
        <f>IF(BOM[[#This Row],[In Stock]]-BOM[[#This Row],[Total Quantity]]&gt;=1,BOM[[#This Row],[In Stock]]-BOM[[#This Row],[Total Quantity]],"Insufficient Stock")</f>
        <v>Insufficient Stock</v>
      </c>
    </row>
    <row r="45" spans="2:21" x14ac:dyDescent="0.3">
      <c r="N45" s="1">
        <f>SUM(BOM[Total Cost])</f>
        <v>2083.8199999999997</v>
      </c>
      <c r="P45" s="1">
        <f>SUBTOTAL(109,BOM[Stock Value])</f>
        <v>886.06</v>
      </c>
      <c r="S45" s="1">
        <f>SUBTOTAL(109,BOM[Cost to Replenish])</f>
        <v>1238.8600000000001</v>
      </c>
    </row>
  </sheetData>
  <phoneticPr fontId="18" type="noConversion"/>
  <conditionalFormatting sqref="O5:O44">
    <cfRule type="expression" dxfId="62" priority="3">
      <formula>$O5&gt;=$M5</formula>
    </cfRule>
    <cfRule type="expression" dxfId="61" priority="4">
      <formula>($O5+$T5)&gt;=$M5</formula>
    </cfRule>
    <cfRule type="expression" dxfId="60" priority="5">
      <formula>$O5&lt;$M5</formula>
    </cfRule>
  </conditionalFormatting>
  <conditionalFormatting sqref="F36">
    <cfRule type="duplicateValues" dxfId="59" priority="1"/>
  </conditionalFormatting>
  <conditionalFormatting sqref="B5:B44">
    <cfRule type="duplicateValues" dxfId="58" priority="24"/>
  </conditionalFormatting>
  <dataValidations count="1">
    <dataValidation type="list" allowBlank="1" showInputMessage="1" showErrorMessage="1" sqref="D5:D44" xr:uid="{5DC859E0-5BFD-4481-AD5A-19C6221F14E1}">
      <formula1>"3D Print, Laser Cutting, Hardware, Elec Hardware, Fixings, Tools, Materials, IT"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E49250-58F6-4DD7-827D-6F92C5E3D50D}">
  <sheetPr codeName="Sheet1"/>
  <dimension ref="D4:J29"/>
  <sheetViews>
    <sheetView zoomScale="85" zoomScaleNormal="85" workbookViewId="0">
      <selection activeCell="D5" sqref="D5:J28"/>
    </sheetView>
  </sheetViews>
  <sheetFormatPr defaultRowHeight="14.4" x14ac:dyDescent="0.3"/>
  <cols>
    <col min="2" max="2" width="13" bestFit="1" customWidth="1"/>
    <col min="3" max="3" width="16.33203125" bestFit="1" customWidth="1"/>
    <col min="4" max="4" width="31" style="2" bestFit="1" customWidth="1"/>
    <col min="5" max="5" width="12.77734375" style="2" bestFit="1" customWidth="1"/>
    <col min="6" max="6" width="17.109375" style="2" customWidth="1"/>
    <col min="7" max="7" width="13.21875" style="10" customWidth="1"/>
    <col min="8" max="8" width="15.33203125" style="10" customWidth="1"/>
    <col min="9" max="9" width="12.109375" style="2" customWidth="1"/>
    <col min="10" max="10" width="13" style="10" customWidth="1"/>
    <col min="11" max="11" width="19.44140625" bestFit="1" customWidth="1"/>
    <col min="12" max="12" width="22.88671875" bestFit="1" customWidth="1"/>
    <col min="13" max="13" width="19.33203125" bestFit="1" customWidth="1"/>
    <col min="14" max="14" width="22.77734375" bestFit="1" customWidth="1"/>
    <col min="15" max="15" width="13.6640625" bestFit="1" customWidth="1"/>
    <col min="16" max="16" width="17.21875" bestFit="1" customWidth="1"/>
    <col min="17" max="17" width="13.33203125" bestFit="1" customWidth="1"/>
    <col min="18" max="18" width="16.88671875" bestFit="1" customWidth="1"/>
    <col min="19" max="19" width="23.5546875" bestFit="1" customWidth="1"/>
    <col min="20" max="20" width="26.88671875" bestFit="1" customWidth="1"/>
    <col min="21" max="21" width="10.33203125" bestFit="1" customWidth="1"/>
    <col min="22" max="22" width="13.77734375" bestFit="1" customWidth="1"/>
    <col min="23" max="23" width="33.21875" bestFit="1" customWidth="1"/>
    <col min="24" max="24" width="36.6640625" bestFit="1" customWidth="1"/>
    <col min="25" max="25" width="20.44140625" bestFit="1" customWidth="1"/>
    <col min="26" max="26" width="23.88671875" bestFit="1" customWidth="1"/>
    <col min="27" max="27" width="33.21875" bestFit="1" customWidth="1"/>
    <col min="28" max="28" width="36.6640625" bestFit="1" customWidth="1"/>
    <col min="29" max="29" width="33.21875" bestFit="1" customWidth="1"/>
    <col min="30" max="30" width="36.6640625" bestFit="1" customWidth="1"/>
    <col min="31" max="31" width="33.21875" bestFit="1" customWidth="1"/>
    <col min="32" max="32" width="36.6640625" bestFit="1" customWidth="1"/>
    <col min="33" max="33" width="33.21875" bestFit="1" customWidth="1"/>
    <col min="34" max="34" width="36.6640625" bestFit="1" customWidth="1"/>
    <col min="35" max="35" width="26.44140625" bestFit="1" customWidth="1"/>
    <col min="36" max="36" width="29.88671875" bestFit="1" customWidth="1"/>
    <col min="37" max="37" width="25" bestFit="1" customWidth="1"/>
    <col min="38" max="38" width="28.44140625" bestFit="1" customWidth="1"/>
    <col min="39" max="39" width="13.5546875" bestFit="1" customWidth="1"/>
    <col min="40" max="40" width="17.109375" bestFit="1" customWidth="1"/>
    <col min="41" max="41" width="13.6640625" bestFit="1" customWidth="1"/>
    <col min="42" max="42" width="17.21875" bestFit="1" customWidth="1"/>
    <col min="43" max="43" width="9.6640625" bestFit="1" customWidth="1"/>
    <col min="44" max="44" width="13" bestFit="1" customWidth="1"/>
    <col min="45" max="45" width="10.5546875" bestFit="1" customWidth="1"/>
    <col min="46" max="46" width="14" bestFit="1" customWidth="1"/>
    <col min="47" max="47" width="17.44140625" bestFit="1" customWidth="1"/>
    <col min="48" max="48" width="21" bestFit="1" customWidth="1"/>
    <col min="49" max="49" width="14.6640625" bestFit="1" customWidth="1"/>
    <col min="50" max="50" width="18" bestFit="1" customWidth="1"/>
    <col min="51" max="51" width="17.44140625" bestFit="1" customWidth="1"/>
    <col min="52" max="52" width="21" bestFit="1" customWidth="1"/>
    <col min="53" max="53" width="18" bestFit="1" customWidth="1"/>
    <col min="54" max="54" width="21.5546875" bestFit="1" customWidth="1"/>
    <col min="55" max="55" width="21.109375" bestFit="1" customWidth="1"/>
    <col min="56" max="56" width="24.5546875" bestFit="1" customWidth="1"/>
    <col min="57" max="57" width="9.33203125" bestFit="1" customWidth="1"/>
    <col min="58" max="58" width="11.33203125" bestFit="1" customWidth="1"/>
    <col min="59" max="59" width="21.109375" bestFit="1" customWidth="1"/>
    <col min="60" max="60" width="24.5546875" bestFit="1" customWidth="1"/>
    <col min="61" max="61" width="11" bestFit="1" customWidth="1"/>
  </cols>
  <sheetData>
    <row r="4" spans="4:10" s="3" customFormat="1" ht="27.6" customHeight="1" thickBot="1" x14ac:dyDescent="0.35">
      <c r="D4" s="8" t="s">
        <v>0</v>
      </c>
      <c r="E4" s="8" t="s">
        <v>38</v>
      </c>
      <c r="F4" s="8" t="s">
        <v>97</v>
      </c>
      <c r="G4" s="9" t="s">
        <v>115</v>
      </c>
      <c r="H4" s="9" t="s">
        <v>106</v>
      </c>
      <c r="I4" s="8" t="s">
        <v>138</v>
      </c>
      <c r="J4" s="9" t="s">
        <v>44</v>
      </c>
    </row>
    <row r="5" spans="4:10" x14ac:dyDescent="0.3">
      <c r="D5" s="2" t="s">
        <v>8</v>
      </c>
      <c r="E5" s="2" t="s">
        <v>42</v>
      </c>
      <c r="F5" s="2" t="s">
        <v>43</v>
      </c>
      <c r="G5" s="10">
        <v>24.5</v>
      </c>
      <c r="H5" s="10">
        <v>3.99</v>
      </c>
      <c r="I5" s="2">
        <v>10</v>
      </c>
      <c r="J5" s="10">
        <v>248.99</v>
      </c>
    </row>
    <row r="6" spans="4:10" x14ac:dyDescent="0.3">
      <c r="D6" s="2" t="s">
        <v>123</v>
      </c>
      <c r="E6" s="2" t="s">
        <v>42</v>
      </c>
      <c r="F6" s="2">
        <v>100058</v>
      </c>
      <c r="G6" s="10">
        <v>3</v>
      </c>
      <c r="H6" s="10">
        <v>3.99</v>
      </c>
      <c r="I6" s="2">
        <v>26</v>
      </c>
      <c r="J6" s="10">
        <v>81.99</v>
      </c>
    </row>
    <row r="7" spans="4:10" x14ac:dyDescent="0.3">
      <c r="D7" s="2" t="s">
        <v>10</v>
      </c>
      <c r="E7" s="2" t="s">
        <v>42</v>
      </c>
      <c r="F7" s="2">
        <v>102708</v>
      </c>
      <c r="G7" s="10">
        <v>3.5</v>
      </c>
      <c r="H7" s="10">
        <v>3.99</v>
      </c>
      <c r="I7" s="2">
        <v>4</v>
      </c>
      <c r="J7" s="10">
        <v>17.990000000000002</v>
      </c>
    </row>
    <row r="8" spans="4:10" x14ac:dyDescent="0.3">
      <c r="D8" s="2" t="s">
        <v>12</v>
      </c>
      <c r="E8" s="2" t="s">
        <v>42</v>
      </c>
      <c r="F8" s="2">
        <v>104275</v>
      </c>
      <c r="G8" s="10">
        <v>2.6</v>
      </c>
      <c r="H8" s="10">
        <v>3.99</v>
      </c>
      <c r="I8" s="2">
        <v>13</v>
      </c>
      <c r="J8" s="10">
        <v>37.790000000000006</v>
      </c>
    </row>
    <row r="9" spans="4:10" x14ac:dyDescent="0.3">
      <c r="D9" s="2" t="s">
        <v>15</v>
      </c>
      <c r="E9" s="2" t="s">
        <v>42</v>
      </c>
      <c r="F9" s="2">
        <v>100284</v>
      </c>
      <c r="G9" s="10">
        <v>2</v>
      </c>
      <c r="H9" s="10">
        <v>3.99</v>
      </c>
      <c r="I9" s="2">
        <v>20</v>
      </c>
      <c r="J9" s="10">
        <v>43.99</v>
      </c>
    </row>
    <row r="10" spans="4:10" x14ac:dyDescent="0.3">
      <c r="D10" s="2" t="s">
        <v>16</v>
      </c>
      <c r="E10" s="2" t="s">
        <v>42</v>
      </c>
      <c r="F10" s="2">
        <v>102864</v>
      </c>
      <c r="G10" s="10">
        <v>1.7</v>
      </c>
      <c r="H10" s="10">
        <v>3.99</v>
      </c>
      <c r="I10" s="2">
        <v>120</v>
      </c>
      <c r="J10" s="10">
        <v>14.19</v>
      </c>
    </row>
    <row r="11" spans="4:10" x14ac:dyDescent="0.3">
      <c r="D11" s="2" t="s">
        <v>110</v>
      </c>
      <c r="E11" s="2" t="s">
        <v>42</v>
      </c>
      <c r="F11" s="2">
        <v>105570</v>
      </c>
      <c r="G11" s="10">
        <v>2.5</v>
      </c>
      <c r="H11" s="10">
        <v>3.99</v>
      </c>
      <c r="I11" s="2">
        <v>10</v>
      </c>
      <c r="J11" s="10">
        <v>28.990000000000002</v>
      </c>
    </row>
    <row r="12" spans="4:10" x14ac:dyDescent="0.3">
      <c r="D12" s="2" t="s">
        <v>36</v>
      </c>
      <c r="E12" s="2" t="s">
        <v>42</v>
      </c>
      <c r="F12" s="2">
        <v>103192</v>
      </c>
      <c r="G12" s="10">
        <v>1.7</v>
      </c>
      <c r="H12" s="10">
        <v>3.99</v>
      </c>
      <c r="I12" s="2">
        <v>260</v>
      </c>
      <c r="J12" s="10">
        <v>26.089999999999996</v>
      </c>
    </row>
    <row r="13" spans="4:10" x14ac:dyDescent="0.3">
      <c r="D13" s="2" t="s">
        <v>14</v>
      </c>
      <c r="E13" s="2" t="s">
        <v>45</v>
      </c>
      <c r="F13" s="2" t="s">
        <v>58</v>
      </c>
      <c r="G13" s="10">
        <v>1.25</v>
      </c>
      <c r="H13" s="10">
        <v>6.95</v>
      </c>
      <c r="I13" s="2">
        <v>7</v>
      </c>
      <c r="J13" s="10">
        <v>15.7</v>
      </c>
    </row>
    <row r="14" spans="4:10" x14ac:dyDescent="0.3">
      <c r="D14" s="2" t="s">
        <v>11</v>
      </c>
      <c r="E14" s="2" t="s">
        <v>54</v>
      </c>
      <c r="F14" s="2" t="s">
        <v>57</v>
      </c>
      <c r="G14" s="10">
        <v>20.99</v>
      </c>
      <c r="H14" s="10">
        <v>0</v>
      </c>
      <c r="I14" s="2">
        <v>40</v>
      </c>
      <c r="J14" s="10">
        <v>209.89999999999998</v>
      </c>
    </row>
    <row r="15" spans="4:10" x14ac:dyDescent="0.3">
      <c r="D15" s="2" t="s">
        <v>19</v>
      </c>
      <c r="E15" s="2" t="s">
        <v>45</v>
      </c>
      <c r="F15" s="2" t="s">
        <v>47</v>
      </c>
      <c r="G15" s="10">
        <v>1.73</v>
      </c>
      <c r="H15" s="10">
        <v>6.95</v>
      </c>
      <c r="I15" s="2">
        <v>500</v>
      </c>
      <c r="J15" s="10">
        <v>10.41</v>
      </c>
    </row>
    <row r="16" spans="4:10" x14ac:dyDescent="0.3">
      <c r="D16" s="2" t="s">
        <v>20</v>
      </c>
      <c r="E16" s="2" t="s">
        <v>45</v>
      </c>
      <c r="F16" s="2" t="s">
        <v>48</v>
      </c>
      <c r="G16" s="10">
        <v>5.57</v>
      </c>
      <c r="H16" s="10">
        <v>6.95</v>
      </c>
      <c r="I16" s="2">
        <v>200</v>
      </c>
      <c r="J16" s="10">
        <v>18.09</v>
      </c>
    </row>
    <row r="17" spans="4:10" x14ac:dyDescent="0.3">
      <c r="D17" s="2" t="s">
        <v>21</v>
      </c>
      <c r="E17" s="2" t="s">
        <v>45</v>
      </c>
      <c r="F17" s="2" t="s">
        <v>49</v>
      </c>
      <c r="G17" s="10">
        <v>19.75</v>
      </c>
      <c r="H17" s="10">
        <v>6.95</v>
      </c>
      <c r="I17" s="2">
        <v>50</v>
      </c>
      <c r="J17" s="10">
        <v>26.7</v>
      </c>
    </row>
    <row r="18" spans="4:10" x14ac:dyDescent="0.3">
      <c r="D18" s="2" t="s">
        <v>22</v>
      </c>
      <c r="E18" s="2" t="s">
        <v>45</v>
      </c>
      <c r="F18" s="2" t="s">
        <v>50</v>
      </c>
      <c r="G18" s="10">
        <v>24.26</v>
      </c>
      <c r="H18" s="10">
        <v>6.95</v>
      </c>
      <c r="I18" s="2">
        <v>50</v>
      </c>
      <c r="J18" s="10">
        <v>31.21</v>
      </c>
    </row>
    <row r="19" spans="4:10" x14ac:dyDescent="0.3">
      <c r="D19" s="2" t="s">
        <v>23</v>
      </c>
      <c r="E19" s="2" t="s">
        <v>45</v>
      </c>
      <c r="F19" s="2" t="s">
        <v>51</v>
      </c>
      <c r="G19" s="10">
        <v>17.239999999999998</v>
      </c>
      <c r="H19" s="10">
        <v>6.95</v>
      </c>
      <c r="I19" s="2">
        <v>50</v>
      </c>
      <c r="J19" s="10">
        <v>24.189999999999998</v>
      </c>
    </row>
    <row r="20" spans="4:10" x14ac:dyDescent="0.3">
      <c r="D20" s="2" t="s">
        <v>132</v>
      </c>
      <c r="E20" s="2" t="s">
        <v>134</v>
      </c>
      <c r="F20" s="2" t="s">
        <v>133</v>
      </c>
      <c r="G20" s="10">
        <v>10.8</v>
      </c>
      <c r="H20" s="10">
        <v>5.25</v>
      </c>
      <c r="I20" s="2">
        <v>100</v>
      </c>
      <c r="J20" s="10">
        <v>16.05</v>
      </c>
    </row>
    <row r="21" spans="4:10" x14ac:dyDescent="0.3">
      <c r="D21" s="2" t="s">
        <v>25</v>
      </c>
      <c r="E21" s="2" t="s">
        <v>45</v>
      </c>
      <c r="F21" s="2" t="s">
        <v>53</v>
      </c>
      <c r="G21" s="10">
        <v>17.52</v>
      </c>
      <c r="H21" s="10">
        <v>6.95</v>
      </c>
      <c r="I21" s="2">
        <v>50</v>
      </c>
      <c r="J21" s="10">
        <v>24.47</v>
      </c>
    </row>
    <row r="22" spans="4:10" x14ac:dyDescent="0.3">
      <c r="D22" s="2" t="s">
        <v>28</v>
      </c>
      <c r="E22" s="2" t="s">
        <v>42</v>
      </c>
      <c r="F22" s="2">
        <v>102191</v>
      </c>
      <c r="G22" s="10">
        <v>2</v>
      </c>
      <c r="H22" s="10">
        <v>3.99</v>
      </c>
      <c r="I22" s="2">
        <v>18</v>
      </c>
      <c r="J22" s="10">
        <v>21.990000000000002</v>
      </c>
    </row>
    <row r="23" spans="4:10" x14ac:dyDescent="0.3">
      <c r="D23" s="2" t="s">
        <v>26</v>
      </c>
      <c r="E23" s="2" t="s">
        <v>54</v>
      </c>
      <c r="F23" s="2" t="s">
        <v>55</v>
      </c>
      <c r="G23" s="10">
        <v>11.99</v>
      </c>
      <c r="H23" s="10">
        <v>0</v>
      </c>
      <c r="I23" s="2">
        <v>12</v>
      </c>
      <c r="J23" s="10">
        <v>11.99</v>
      </c>
    </row>
    <row r="24" spans="4:10" x14ac:dyDescent="0.3">
      <c r="D24" s="2" t="s">
        <v>95</v>
      </c>
      <c r="E24" s="2" t="s">
        <v>129</v>
      </c>
      <c r="F24" s="2" t="s">
        <v>130</v>
      </c>
      <c r="G24" s="10">
        <v>25.99</v>
      </c>
      <c r="H24" s="10">
        <v>4</v>
      </c>
      <c r="I24" s="2">
        <v>7</v>
      </c>
      <c r="J24" s="10">
        <v>185.92999999999998</v>
      </c>
    </row>
    <row r="25" spans="4:10" x14ac:dyDescent="0.3">
      <c r="D25" s="2" t="s">
        <v>33</v>
      </c>
      <c r="E25" s="2" t="s">
        <v>117</v>
      </c>
      <c r="F25" s="2">
        <v>196339</v>
      </c>
      <c r="G25" s="10">
        <v>3.99</v>
      </c>
      <c r="H25" s="10">
        <v>0</v>
      </c>
      <c r="I25" s="2">
        <v>16</v>
      </c>
      <c r="J25" s="10">
        <v>63.84</v>
      </c>
    </row>
    <row r="26" spans="4:10" x14ac:dyDescent="0.3">
      <c r="D26" s="2" t="s">
        <v>118</v>
      </c>
      <c r="E26" s="2" t="s">
        <v>45</v>
      </c>
      <c r="F26" s="2" t="s">
        <v>102</v>
      </c>
      <c r="G26" s="10">
        <v>1.8</v>
      </c>
      <c r="H26" s="10">
        <v>6.95</v>
      </c>
      <c r="I26" s="2">
        <v>10</v>
      </c>
      <c r="J26" s="10">
        <v>24.95</v>
      </c>
    </row>
    <row r="27" spans="4:10" x14ac:dyDescent="0.3">
      <c r="D27" s="2" t="s">
        <v>119</v>
      </c>
      <c r="E27" s="2" t="s">
        <v>120</v>
      </c>
      <c r="F27" s="2" t="s">
        <v>121</v>
      </c>
      <c r="G27" s="10">
        <v>2.09</v>
      </c>
      <c r="H27" s="10">
        <v>0</v>
      </c>
      <c r="I27" s="2">
        <v>16</v>
      </c>
      <c r="J27" s="10">
        <v>33.44</v>
      </c>
    </row>
    <row r="28" spans="4:10" x14ac:dyDescent="0.3">
      <c r="D28" s="2" t="s">
        <v>35</v>
      </c>
      <c r="E28" s="2" t="s">
        <v>54</v>
      </c>
      <c r="F28" s="2" t="s">
        <v>101</v>
      </c>
      <c r="G28" s="10">
        <v>9.99</v>
      </c>
      <c r="H28" s="10">
        <v>0</v>
      </c>
      <c r="I28" s="2">
        <v>6</v>
      </c>
      <c r="J28" s="10">
        <v>19.98</v>
      </c>
    </row>
    <row r="29" spans="4:10" x14ac:dyDescent="0.3">
      <c r="J29" s="10">
        <v>1238.8600000000001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049EB-8B5B-4BED-9E9D-A5911B013398}">
  <sheetPr codeName="Sheet4"/>
  <dimension ref="B2:H24"/>
  <sheetViews>
    <sheetView tabSelected="1" zoomScaleNormal="100" workbookViewId="0">
      <selection activeCell="B2" sqref="B2:H2"/>
    </sheetView>
  </sheetViews>
  <sheetFormatPr defaultRowHeight="14.4" x14ac:dyDescent="0.3"/>
  <cols>
    <col min="2" max="2" width="17.109375" bestFit="1" customWidth="1"/>
    <col min="3" max="3" width="19" bestFit="1" customWidth="1"/>
    <col min="4" max="4" width="25.77734375" customWidth="1"/>
    <col min="5" max="5" width="19" customWidth="1"/>
    <col min="6" max="6" width="23.109375" customWidth="1"/>
    <col min="7" max="7" width="6" customWidth="1"/>
    <col min="8" max="8" width="11.109375" customWidth="1"/>
  </cols>
  <sheetData>
    <row r="2" spans="2:8" ht="15" thickBot="1" x14ac:dyDescent="0.35">
      <c r="B2" s="21" t="s">
        <v>0</v>
      </c>
      <c r="C2" s="22" t="s">
        <v>38</v>
      </c>
      <c r="D2" s="22" t="s">
        <v>97</v>
      </c>
      <c r="E2" s="23" t="s">
        <v>115</v>
      </c>
      <c r="F2" s="23" t="s">
        <v>106</v>
      </c>
      <c r="G2" s="22" t="s">
        <v>138</v>
      </c>
      <c r="H2" s="24" t="s">
        <v>44</v>
      </c>
    </row>
    <row r="3" spans="2:8" x14ac:dyDescent="0.3">
      <c r="B3" s="17" t="s">
        <v>139</v>
      </c>
      <c r="C3" s="11" t="s">
        <v>54</v>
      </c>
      <c r="D3" s="12" t="s">
        <v>140</v>
      </c>
      <c r="E3" s="13">
        <v>29</v>
      </c>
      <c r="F3" s="13">
        <v>0</v>
      </c>
      <c r="G3" s="11">
        <v>1</v>
      </c>
      <c r="H3" s="19">
        <f>IFERROR((Table2[[#This Row],[QTY]]*Table2[[#This Row],[Pack Cost (inc. VAT)]])+Table2[[#This Row],[Estimated Delivery Cost]],"")</f>
        <v>29</v>
      </c>
    </row>
    <row r="4" spans="2:8" x14ac:dyDescent="0.3">
      <c r="B4" s="18" t="s">
        <v>141</v>
      </c>
      <c r="C4" s="14" t="s">
        <v>129</v>
      </c>
      <c r="D4" s="15" t="s">
        <v>142</v>
      </c>
      <c r="E4" s="16">
        <v>1179</v>
      </c>
      <c r="F4" s="16">
        <v>78</v>
      </c>
      <c r="G4" s="14">
        <v>1</v>
      </c>
      <c r="H4" s="20">
        <f>IFERROR((Table2[[#This Row],[QTY]]*Table2[[#This Row],[Pack Cost (inc. VAT)]])+Table2[[#This Row],[Estimated Delivery Cost]],"")</f>
        <v>1257</v>
      </c>
    </row>
    <row r="5" spans="2:8" x14ac:dyDescent="0.3">
      <c r="B5" s="17" t="s">
        <v>143</v>
      </c>
      <c r="C5" s="11" t="s">
        <v>144</v>
      </c>
      <c r="D5" s="12" t="s">
        <v>145</v>
      </c>
      <c r="E5" s="13">
        <v>3.22</v>
      </c>
      <c r="F5" s="13">
        <v>14.39</v>
      </c>
      <c r="G5" s="11">
        <v>10</v>
      </c>
      <c r="H5" s="19">
        <f>IFERROR((Table2[[#This Row],[QTY]]*Table2[[#This Row],[Pack Cost (inc. VAT)]])+Table2[[#This Row],[Estimated Delivery Cost]],"")</f>
        <v>46.59</v>
      </c>
    </row>
    <row r="6" spans="2:8" x14ac:dyDescent="0.3">
      <c r="B6" s="18" t="s">
        <v>146</v>
      </c>
      <c r="C6" s="11" t="s">
        <v>144</v>
      </c>
      <c r="D6" s="15" t="s">
        <v>147</v>
      </c>
      <c r="E6" s="16">
        <v>3.13</v>
      </c>
      <c r="F6" s="13">
        <v>14.39</v>
      </c>
      <c r="G6" s="14">
        <v>1</v>
      </c>
      <c r="H6" s="20">
        <f>IFERROR((Table2[[#This Row],[QTY]]*Table2[[#This Row],[Pack Cost (inc. VAT)]])+Table2[[#This Row],[Estimated Delivery Cost]],"")</f>
        <v>17.52</v>
      </c>
    </row>
    <row r="7" spans="2:8" x14ac:dyDescent="0.3">
      <c r="B7" s="18" t="s">
        <v>148</v>
      </c>
      <c r="C7" s="11" t="s">
        <v>144</v>
      </c>
      <c r="D7" s="15" t="s">
        <v>149</v>
      </c>
      <c r="E7" s="16">
        <v>16.54</v>
      </c>
      <c r="F7" s="13">
        <v>14.39</v>
      </c>
      <c r="G7" s="14">
        <v>1</v>
      </c>
      <c r="H7" s="20">
        <f>IFERROR((Table2[[#This Row],[QTY]]*Table2[[#This Row],[Pack Cost (inc. VAT)]])+Table2[[#This Row],[Estimated Delivery Cost]],"")</f>
        <v>30.93</v>
      </c>
    </row>
    <row r="8" spans="2:8" x14ac:dyDescent="0.3">
      <c r="B8" s="18" t="s">
        <v>150</v>
      </c>
      <c r="C8" s="14" t="s">
        <v>151</v>
      </c>
      <c r="D8" s="15" t="s">
        <v>152</v>
      </c>
      <c r="E8" s="16">
        <v>39.99</v>
      </c>
      <c r="F8" s="16">
        <v>3.99</v>
      </c>
      <c r="G8" s="14">
        <v>2</v>
      </c>
      <c r="H8" s="20">
        <f>IFERROR((Table2[[#This Row],[QTY]]*Table2[[#This Row],[Pack Cost (inc. VAT)]])+Table2[[#This Row],[Estimated Delivery Cost]],"")</f>
        <v>83.97</v>
      </c>
    </row>
    <row r="9" spans="2:8" x14ac:dyDescent="0.3">
      <c r="B9" s="18" t="s">
        <v>153</v>
      </c>
      <c r="C9" s="14" t="s">
        <v>54</v>
      </c>
      <c r="D9" s="15" t="s">
        <v>154</v>
      </c>
      <c r="E9" s="16">
        <v>8.99</v>
      </c>
      <c r="F9" s="16">
        <v>0</v>
      </c>
      <c r="G9" s="14">
        <v>6</v>
      </c>
      <c r="H9" s="20">
        <f>IFERROR((Table2[[#This Row],[QTY]]*Table2[[#This Row],[Pack Cost (inc. VAT)]])+Table2[[#This Row],[Estimated Delivery Cost]],"")</f>
        <v>53.94</v>
      </c>
    </row>
    <row r="10" spans="2:8" x14ac:dyDescent="0.3">
      <c r="B10" s="18" t="s">
        <v>155</v>
      </c>
      <c r="C10" s="14" t="s">
        <v>54</v>
      </c>
      <c r="D10" s="15" t="s">
        <v>156</v>
      </c>
      <c r="E10" s="16">
        <v>11.99</v>
      </c>
      <c r="F10" s="16">
        <v>0</v>
      </c>
      <c r="G10" s="14">
        <v>2</v>
      </c>
      <c r="H10" s="20">
        <f>IFERROR((Table2[[#This Row],[QTY]]*Table2[[#This Row],[Pack Cost (inc. VAT)]])+Table2[[#This Row],[Estimated Delivery Cost]],"")</f>
        <v>23.98</v>
      </c>
    </row>
    <row r="11" spans="2:8" x14ac:dyDescent="0.3">
      <c r="B11" s="18" t="s">
        <v>157</v>
      </c>
      <c r="C11" s="14" t="s">
        <v>42</v>
      </c>
      <c r="D11" s="15" t="s">
        <v>158</v>
      </c>
      <c r="E11" s="16">
        <v>4.2</v>
      </c>
      <c r="F11" s="16">
        <v>3.99</v>
      </c>
      <c r="G11" s="14">
        <v>5</v>
      </c>
      <c r="H11" s="20">
        <f>IFERROR((Table2[[#This Row],[QTY]]*Table2[[#This Row],[Pack Cost (inc. VAT)]])+Table2[[#This Row],[Estimated Delivery Cost]],"")</f>
        <v>24.990000000000002</v>
      </c>
    </row>
    <row r="12" spans="2:8" x14ac:dyDescent="0.3">
      <c r="B12" s="18" t="s">
        <v>159</v>
      </c>
      <c r="C12" s="14" t="s">
        <v>42</v>
      </c>
      <c r="D12" s="15" t="s">
        <v>160</v>
      </c>
      <c r="E12" s="16">
        <v>2.4</v>
      </c>
      <c r="F12" s="16">
        <v>3.99</v>
      </c>
      <c r="G12" s="14">
        <v>5</v>
      </c>
      <c r="H12" s="20">
        <f>IFERROR((Table2[[#This Row],[QTY]]*Table2[[#This Row],[Pack Cost (inc. VAT)]])+Table2[[#This Row],[Estimated Delivery Cost]],"")</f>
        <v>15.99</v>
      </c>
    </row>
    <row r="13" spans="2:8" x14ac:dyDescent="0.3">
      <c r="B13" s="18" t="s">
        <v>161</v>
      </c>
      <c r="C13" s="14" t="s">
        <v>162</v>
      </c>
      <c r="D13" s="15" t="s">
        <v>163</v>
      </c>
      <c r="E13" s="16">
        <v>389.76</v>
      </c>
      <c r="F13" s="16">
        <v>0</v>
      </c>
      <c r="G13" s="14">
        <v>1</v>
      </c>
      <c r="H13" s="20">
        <f>IFERROR((Table2[[#This Row],[QTY]]*Table2[[#This Row],[Pack Cost (inc. VAT)]])+Table2[[#This Row],[Estimated Delivery Cost]],"")</f>
        <v>389.76</v>
      </c>
    </row>
    <row r="14" spans="2:8" x14ac:dyDescent="0.3">
      <c r="B14" s="18" t="s">
        <v>166</v>
      </c>
      <c r="C14" s="14" t="s">
        <v>54</v>
      </c>
      <c r="D14" s="15" t="s">
        <v>167</v>
      </c>
      <c r="E14" s="16">
        <v>7.99</v>
      </c>
      <c r="F14" s="16">
        <v>0</v>
      </c>
      <c r="G14" s="14">
        <v>1</v>
      </c>
      <c r="H14" s="20">
        <f>IFERROR((Table2[[#This Row],[QTY]]*Table2[[#This Row],[Pack Cost (inc. VAT)]])+Table2[[#This Row],[Estimated Delivery Cost]],"")</f>
        <v>7.99</v>
      </c>
    </row>
    <row r="15" spans="2:8" x14ac:dyDescent="0.3">
      <c r="B15" s="17" t="s">
        <v>164</v>
      </c>
      <c r="C15" s="11" t="s">
        <v>54</v>
      </c>
      <c r="D15" s="12" t="s">
        <v>165</v>
      </c>
      <c r="E15" s="13">
        <v>26.99</v>
      </c>
      <c r="F15" s="13">
        <v>0</v>
      </c>
      <c r="G15" s="11">
        <v>1</v>
      </c>
      <c r="H15" s="19">
        <f>IFERROR((Table2[[#This Row],[QTY]]*Table2[[#This Row],[Pack Cost (inc. VAT)]])+Table2[[#This Row],[Estimated Delivery Cost]],"")</f>
        <v>26.99</v>
      </c>
    </row>
    <row r="16" spans="2:8" x14ac:dyDescent="0.3">
      <c r="B16" s="18" t="s">
        <v>168</v>
      </c>
      <c r="C16" s="14" t="s">
        <v>54</v>
      </c>
      <c r="D16" s="15" t="s">
        <v>172</v>
      </c>
      <c r="E16" s="16">
        <v>6.19</v>
      </c>
      <c r="F16" s="16">
        <v>0</v>
      </c>
      <c r="G16" s="14">
        <v>3</v>
      </c>
      <c r="H16" s="20">
        <f>IFERROR((Table2[[#This Row],[QTY]]*Table2[[#This Row],[Pack Cost (inc. VAT)]])+Table2[[#This Row],[Estimated Delivery Cost]],"")</f>
        <v>18.57</v>
      </c>
    </row>
    <row r="17" spans="2:8" x14ac:dyDescent="0.3">
      <c r="B17" s="18" t="s">
        <v>169</v>
      </c>
      <c r="C17" s="14" t="s">
        <v>42</v>
      </c>
      <c r="D17" s="15">
        <v>100283</v>
      </c>
      <c r="E17" s="16">
        <v>3</v>
      </c>
      <c r="F17" s="16">
        <v>3.99</v>
      </c>
      <c r="G17" s="14">
        <v>5</v>
      </c>
      <c r="H17" s="20">
        <f>IFERROR((Table2[[#This Row],[QTY]]*Table2[[#This Row],[Pack Cost (inc. VAT)]])+Table2[[#This Row],[Estimated Delivery Cost]],"")</f>
        <v>18.990000000000002</v>
      </c>
    </row>
    <row r="18" spans="2:8" x14ac:dyDescent="0.3">
      <c r="B18" s="18" t="s">
        <v>170</v>
      </c>
      <c r="C18" s="14" t="s">
        <v>42</v>
      </c>
      <c r="D18" s="15" t="s">
        <v>173</v>
      </c>
      <c r="E18" s="16">
        <v>3.9</v>
      </c>
      <c r="F18" s="16">
        <v>3.99</v>
      </c>
      <c r="G18" s="14">
        <v>5</v>
      </c>
      <c r="H18" s="20">
        <f>IFERROR((Table2[[#This Row],[QTY]]*Table2[[#This Row],[Pack Cost (inc. VAT)]])+Table2[[#This Row],[Estimated Delivery Cost]],"")</f>
        <v>23.490000000000002</v>
      </c>
    </row>
    <row r="19" spans="2:8" x14ac:dyDescent="0.3">
      <c r="B19" s="18" t="s">
        <v>171</v>
      </c>
      <c r="C19" s="14" t="s">
        <v>42</v>
      </c>
      <c r="D19" s="15" t="s">
        <v>174</v>
      </c>
      <c r="E19" s="16">
        <v>2.5</v>
      </c>
      <c r="F19" s="16">
        <v>3.99</v>
      </c>
      <c r="G19" s="14">
        <v>5</v>
      </c>
      <c r="H19" s="20">
        <f>IFERROR((Table2[[#This Row],[QTY]]*Table2[[#This Row],[Pack Cost (inc. VAT)]])+Table2[[#This Row],[Estimated Delivery Cost]],"")</f>
        <v>16.490000000000002</v>
      </c>
    </row>
    <row r="20" spans="2:8" x14ac:dyDescent="0.3">
      <c r="B20" s="18" t="s">
        <v>181</v>
      </c>
      <c r="C20" s="14" t="s">
        <v>54</v>
      </c>
      <c r="D20" s="15" t="s">
        <v>183</v>
      </c>
      <c r="E20" s="16">
        <v>23.79</v>
      </c>
      <c r="F20" s="16">
        <v>0</v>
      </c>
      <c r="G20" s="14">
        <v>1</v>
      </c>
      <c r="H20" s="20">
        <f>IFERROR((Table2[[#This Row],[QTY]]*Table2[[#This Row],[Pack Cost (inc. VAT)]])+Table2[[#This Row],[Estimated Delivery Cost]],"")</f>
        <v>23.79</v>
      </c>
    </row>
    <row r="21" spans="2:8" x14ac:dyDescent="0.3">
      <c r="B21" s="18" t="s">
        <v>182</v>
      </c>
      <c r="C21" s="14" t="s">
        <v>54</v>
      </c>
      <c r="D21" s="15" t="s">
        <v>184</v>
      </c>
      <c r="E21" s="16">
        <v>15.99</v>
      </c>
      <c r="F21" s="16">
        <v>0</v>
      </c>
      <c r="G21" s="14">
        <v>1</v>
      </c>
      <c r="H21" s="20">
        <f>IFERROR((Table2[[#This Row],[QTY]]*Table2[[#This Row],[Pack Cost (inc. VAT)]])+Table2[[#This Row],[Estimated Delivery Cost]],"")</f>
        <v>15.99</v>
      </c>
    </row>
    <row r="22" spans="2:8" x14ac:dyDescent="0.3">
      <c r="B22" s="18" t="s">
        <v>187</v>
      </c>
      <c r="C22" s="14" t="s">
        <v>54</v>
      </c>
      <c r="D22" s="15" t="s">
        <v>185</v>
      </c>
      <c r="E22" s="16">
        <v>29.72</v>
      </c>
      <c r="F22" s="16">
        <v>0</v>
      </c>
      <c r="G22" s="14">
        <v>1</v>
      </c>
      <c r="H22" s="20">
        <f>IFERROR((Table2[[#This Row],[QTY]]*Table2[[#This Row],[Pack Cost (inc. VAT)]])+Table2[[#This Row],[Estimated Delivery Cost]],"")</f>
        <v>29.72</v>
      </c>
    </row>
    <row r="23" spans="2:8" x14ac:dyDescent="0.3">
      <c r="B23" s="18" t="s">
        <v>188</v>
      </c>
      <c r="C23" s="14" t="s">
        <v>54</v>
      </c>
      <c r="D23" s="15" t="s">
        <v>186</v>
      </c>
      <c r="E23" s="16">
        <v>25.99</v>
      </c>
      <c r="F23" s="16">
        <v>0</v>
      </c>
      <c r="G23" s="14">
        <v>1</v>
      </c>
      <c r="H23" s="20">
        <f>IFERROR((Table2[[#This Row],[QTY]]*Table2[[#This Row],[Pack Cost (inc. VAT)]])+Table2[[#This Row],[Estimated Delivery Cost]],"")</f>
        <v>25.99</v>
      </c>
    </row>
    <row r="24" spans="2:8" x14ac:dyDescent="0.3">
      <c r="B24" s="17"/>
      <c r="C24" s="11"/>
      <c r="D24" s="12"/>
      <c r="E24" s="13"/>
      <c r="F24" s="13"/>
      <c r="G24" s="11"/>
      <c r="H24" s="19">
        <f>SUM(Table2[Total Cost])</f>
        <v>2181.6799999999989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D78D58-4FE8-4C75-848F-AAE93CAE7807}">
  <sheetPr codeName="Sheet3"/>
  <dimension ref="A5:F16"/>
  <sheetViews>
    <sheetView workbookViewId="0">
      <selection activeCell="C20" sqref="C20"/>
    </sheetView>
  </sheetViews>
  <sheetFormatPr defaultRowHeight="14.4" x14ac:dyDescent="0.3"/>
  <cols>
    <col min="1" max="1" width="3" bestFit="1" customWidth="1"/>
    <col min="4" max="4" width="8.88671875" style="2"/>
    <col min="6" max="6" width="8.88671875" style="1"/>
  </cols>
  <sheetData>
    <row r="5" spans="1:2" x14ac:dyDescent="0.3">
      <c r="A5">
        <v>4</v>
      </c>
      <c r="B5">
        <v>50.793125000000011</v>
      </c>
    </row>
    <row r="6" spans="1:2" x14ac:dyDescent="0.3">
      <c r="A6">
        <v>5</v>
      </c>
      <c r="B6">
        <v>47.975499999999997</v>
      </c>
    </row>
    <row r="7" spans="1:2" x14ac:dyDescent="0.3">
      <c r="A7">
        <v>6</v>
      </c>
      <c r="B7">
        <v>42.887499999999989</v>
      </c>
    </row>
    <row r="8" spans="1:2" x14ac:dyDescent="0.3">
      <c r="A8">
        <v>7</v>
      </c>
      <c r="B8">
        <v>40.112500000000004</v>
      </c>
    </row>
    <row r="9" spans="1:2" x14ac:dyDescent="0.3">
      <c r="A9">
        <v>8</v>
      </c>
      <c r="B9">
        <v>57.32156250000002</v>
      </c>
    </row>
    <row r="10" spans="1:2" x14ac:dyDescent="0.3">
      <c r="A10">
        <v>9</v>
      </c>
      <c r="B10">
        <v>56.212777777777802</v>
      </c>
    </row>
    <row r="11" spans="1:2" x14ac:dyDescent="0.3">
      <c r="A11">
        <v>10</v>
      </c>
      <c r="B11">
        <v>63.351999999999975</v>
      </c>
    </row>
    <row r="12" spans="1:2" x14ac:dyDescent="0.3">
      <c r="A12">
        <v>11</v>
      </c>
      <c r="B12">
        <v>37.781363636363643</v>
      </c>
    </row>
    <row r="13" spans="1:2" x14ac:dyDescent="0.3">
      <c r="A13">
        <v>12</v>
      </c>
      <c r="B13">
        <v>37.01583333333334</v>
      </c>
    </row>
    <row r="14" spans="1:2" x14ac:dyDescent="0.3">
      <c r="A14">
        <v>13</v>
      </c>
      <c r="B14">
        <v>40.121153846153838</v>
      </c>
    </row>
    <row r="15" spans="1:2" x14ac:dyDescent="0.3">
      <c r="A15">
        <v>14</v>
      </c>
      <c r="B15">
        <v>37.211071428571422</v>
      </c>
    </row>
    <row r="16" spans="1:2" x14ac:dyDescent="0.3">
      <c r="A16">
        <v>15</v>
      </c>
      <c r="B16">
        <v>36.261166666666668</v>
      </c>
    </row>
  </sheetData>
  <conditionalFormatting sqref="B5:B16">
    <cfRule type="top10" dxfId="14" priority="1" bottom="1" rank="1"/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Project BOM</vt:lpstr>
      <vt:lpstr>Components Quote</vt:lpstr>
      <vt:lpstr>Equipment Quote</vt:lpstr>
      <vt:lpstr>Stats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Harrison Milburn</dc:creator>
  <cp:keywords/>
  <dc:description/>
  <cp:lastModifiedBy>Harrison Milburn</cp:lastModifiedBy>
  <cp:revision/>
  <dcterms:created xsi:type="dcterms:W3CDTF">2024-04-07T08:01:11Z</dcterms:created>
  <dcterms:modified xsi:type="dcterms:W3CDTF">2024-05-24T10:53:09Z</dcterms:modified>
  <cp:category/>
  <cp:contentStatus/>
</cp:coreProperties>
</file>